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vmlDrawing2.vml" ContentType="application/vnd.openxmlformats-officedocument.vmlDrawing"/>
  <Override PartName="/xl/comments1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omments6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Waste" sheetId="1" state="visible" r:id="rId3"/>
    <sheet name="Waste by Source" sheetId="2" state="visible" r:id="rId4"/>
    <sheet name="Forecast MAPE" sheetId="3" state="visible" r:id="rId5"/>
    <sheet name="Waste Cost" sheetId="4" state="visible" r:id="rId6"/>
    <sheet name="Guest Experience" sheetId="5" state="visible" r:id="rId7"/>
    <sheet name="Operations" sheetId="6" state="visible" r:id="rId8"/>
    <sheet name="AgentOps" sheetId="7" state="visible" r:id="rId9"/>
    <sheet name="Readiness Gate" sheetId="8" state="visible" r:id="rId10"/>
    <sheet name="Control Room" sheetId="9" state="visible" r:id="rId11"/>
    <sheet name="Overrides" sheetId="10" state="visible" r:id="rId12"/>
    <sheet name="Economics" sheetId="11" state="visible" r:id="rId13"/>
    <sheet name="Sensitivity" sheetId="12" state="visible" r:id="rId14"/>
    <sheet name="10_STRATEGY_EXECUTION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Reductions allocated by kg reduced per source so they sum to the ~$145K headline.</t>
        </r>
      </text>
    </comment>
    <comment ref="G2" authorId="0">
      <text>
        <r>
          <rPr>
            <sz val="10"/>
            <rFont val="Arial"/>
            <family val="2"/>
          </rPr>
          <t xml:space="preserve">Modeled input from the case-study brief.</t>
        </r>
      </text>
    </comment>
    <comment ref="G3" authorId="0">
      <text>
        <r>
          <rPr>
            <sz val="10"/>
            <rFont val="Arial"/>
            <family val="2"/>
          </rPr>
          <t xml:space="preserve">Modeled input from the case-study brief.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Baseline = average of weeks B1–B4.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Editable input (drop-down A1–A8). Drives Sections A, B and D and the AI-governance row in Section E.</t>
        </r>
      </text>
    </comment>
    <comment ref="C32" authorId="0">
      <text>
        <r>
          <rPr>
            <sz val="10"/>
            <rFont val="Arial"/>
            <family val="2"/>
          </rPr>
          <t xml:space="preserve">Illustrative assumption — not measured in the pilot data. Replace with the POS stockout / service-exception log.</t>
        </r>
      </text>
    </comment>
    <comment ref="D32" authorId="0">
      <text>
        <r>
          <rPr>
            <sz val="10"/>
            <rFont val="Arial"/>
            <family val="2"/>
          </rPr>
          <t xml:space="preserve">Illustrative assumption — not measured in the pilot data. Replace with the POS stockout / service-exception log.</t>
        </r>
      </text>
    </comment>
    <comment ref="E32" authorId="0">
      <text>
        <r>
          <rPr>
            <sz val="10"/>
            <rFont val="Arial"/>
            <family val="2"/>
          </rPr>
          <t xml:space="preserve">Illustrative assumption — not measured in the pilot data. Replace with the POS stockout / service-exception log.</t>
        </r>
      </text>
    </comment>
    <comment ref="E47" authorId="0">
      <text>
        <r>
          <rPr>
            <sz val="10"/>
            <rFont val="Arial"/>
            <family val="2"/>
          </rPr>
          <t xml:space="preserve">KR 1 target (−30% vs baseline). Also sets the Section B food-waste target.</t>
        </r>
      </text>
    </comment>
  </commentList>
</comments>
</file>

<file path=xl/sharedStrings.xml><?xml version="1.0" encoding="utf-8"?>
<sst xmlns="http://schemas.openxmlformats.org/spreadsheetml/2006/main" count="754" uniqueCount="410">
  <si>
    <t xml:space="preserve">Week</t>
  </si>
  <si>
    <t xml:space="preserve">Phase</t>
  </si>
  <si>
    <t xml:space="preserve">Food Waste (kg)</t>
  </si>
  <si>
    <t xml:space="preserve">B1</t>
  </si>
  <si>
    <t xml:space="preserve">Baseline</t>
  </si>
  <si>
    <t xml:space="preserve">Baseline Avg (B1–B4)</t>
  </si>
  <si>
    <t xml:space="preserve">B2</t>
  </si>
  <si>
    <t xml:space="preserve">Final 4-Wk Avg (A5–A8)</t>
  </si>
  <si>
    <t xml:space="preserve">B3</t>
  </si>
  <si>
    <t xml:space="preserve">Change</t>
  </si>
  <si>
    <t xml:space="preserve">B4</t>
  </si>
  <si>
    <t xml:space="preserve">A1</t>
  </si>
  <si>
    <t xml:space="preserve">Agent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</si>
  <si>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</si>
  <si>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</si>
  <si>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</si>
  <si>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</si>
  <si>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</si>
  <si>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</si>
  <si>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</si>
  <si>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Waste Source</t>
  </si>
  <si>
    <t xml:space="preserve">Baseline (kg/wk)</t>
  </si>
  <si>
    <t xml:space="preserve">With Agents (kg/wk)</t>
  </si>
  <si>
    <t xml:space="preserve">Overproduction</t>
  </si>
  <si>
    <t xml:space="preserve">Baseline = B1–B4 average; With Agents = A5–A8 average.</t>
  </si>
  <si>
    <t xml:space="preserve">Buffet Excess</t>
  </si>
  <si>
    <t xml:space="preserve">Spoilage</t>
  </si>
  <si>
    <t xml:space="preserve">Prep Waste</t>
  </si>
  <si>
    <t xml:space="preserve">Plate Waste</t>
  </si>
  <si>
    <t xml:space="preserve">Total</t>
  </si>
  <si>
    <t xml:space="preserve">Forecast MAPE</t>
  </si>
  <si>
    <t xml:space="preserve">Final Week (A8)</t>
  </si>
  <si>
    <t xml:space="preserve">MAPE = mean(|Actual - Forecast| / Actual) x 100, across the week's services.</t>
  </si>
  <si>
    <t xml:space="preserve">Step</t>
  </si>
  <si>
    <t xml:space="preserve">Amount ($)</t>
  </si>
  <si>
    <t xml:space="preserve">Chart Base</t>
  </si>
  <si>
    <t xml:space="preserve">Chart Bar</t>
  </si>
  <si>
    <t xml:space="preserve">Inputs</t>
  </si>
  <si>
    <t xml:space="preserve">Baseline Waste Cost</t>
  </si>
  <si>
    <t xml:space="preserve">Annual Food Purchasing</t>
  </si>
  <si>
    <t xml:space="preserve">Baseline Annual Waste Cost</t>
  </si>
  <si>
    <t xml:space="preserve">Waste Cost % of Purchasing</t>
  </si>
  <si>
    <t xml:space="preserve">Other Efficiency</t>
  </si>
  <si>
    <t xml:space="preserve">Optimized Waste Cost</t>
  </si>
  <si>
    <t xml:space="preserve">Annual Food Cost Protected</t>
  </si>
  <si>
    <t xml:space="preserve">Reduction in Waste Cost</t>
  </si>
  <si>
    <t xml:space="preserve">Avoided waste cost, not incremental revenue.</t>
  </si>
  <si>
    <t xml:space="preserve">Waste / Cover (kg)</t>
  </si>
  <si>
    <t xml:space="preserve">Guest F&amp;B Score</t>
  </si>
  <si>
    <t xml:space="preserve">Waste / Cover: Baseline Avg</t>
  </si>
  <si>
    <t xml:space="preserve">Waste / Cover: Week A8</t>
  </si>
  <si>
    <t xml:space="preserve">Waste / Cover Change</t>
  </si>
  <si>
    <t xml:space="preserve">Guest Score: B1</t>
  </si>
  <si>
    <t xml:space="preserve">Guest Score: A8</t>
  </si>
  <si>
    <t xml:space="preserve">Coordination Hours / Week</t>
  </si>
  <si>
    <t xml:space="preserve">Week A8</t>
  </si>
  <si>
    <t xml:space="preserve">Recommendations</t>
  </si>
  <si>
    <t xml:space="preserve">Accepted</t>
  </si>
  <si>
    <t xml:space="preserve">Human Overrides</t>
  </si>
  <si>
    <t xml:space="preserve">Required Escalations</t>
  </si>
  <si>
    <t xml:space="preserve">Correct Escalations</t>
  </si>
  <si>
    <t xml:space="preserve">All Escalations</t>
  </si>
  <si>
    <t xml:space="preserve">Tool Calls</t>
  </si>
  <si>
    <t xml:space="preserve">Successful Tool Calls</t>
  </si>
  <si>
    <t xml:space="preserve">Acceptance Rate</t>
  </si>
  <si>
    <t xml:space="preserve">Override Rate</t>
  </si>
  <si>
    <t xml:space="preserve">Escalation Recall</t>
  </si>
  <si>
    <t xml:space="preserve">Escalation Precision</t>
  </si>
  <si>
    <t xml:space="preserve">Tool Reliability</t>
  </si>
  <si>
    <t xml:space="preserve">Autonomy Score</t>
  </si>
  <si>
    <t xml:space="preserve">Source: Hotel_Food_Waste_AgentOps_Metrics.xlsx (Amelia Wolfire) — values and formulas reproduced unchanged.</t>
  </si>
  <si>
    <t xml:space="preserve">Readiness Criterion</t>
  </si>
  <si>
    <t xml:space="preserve">Test</t>
  </si>
  <si>
    <t xml:space="preserve">Threshold</t>
  </si>
  <si>
    <t xml:space="preserve">Recommendation Acceptance</t>
  </si>
  <si>
    <t xml:space="preserve">≥</t>
  </si>
  <si>
    <t xml:space="preserve">Illustrative thresholds — edit the blue cells.</t>
  </si>
  <si>
    <t xml:space="preserve">Human Override Rate</t>
  </si>
  <si>
    <t xml:space="preserve">≤</t>
  </si>
  <si>
    <t xml:space="preserve">Critical Policy Violations</t>
  </si>
  <si>
    <t xml:space="preserve">=</t>
  </si>
  <si>
    <t xml:space="preserve">Acceptance</t>
  </si>
  <si>
    <t xml:space="preserve">Recall</t>
  </si>
  <si>
    <t xml:space="preserve">Precision</t>
  </si>
  <si>
    <t xml:space="preserve">MAPE</t>
  </si>
  <si>
    <t xml:space="preserve">Guest Score</t>
  </si>
  <si>
    <t xml:space="preserve">Policy Violations</t>
  </si>
  <si>
    <t xml:space="preserve">Failed Checks</t>
  </si>
  <si>
    <t xml:space="preserve">Gate</t>
  </si>
  <si>
    <t xml:space="preserve">First Blocker</t>
  </si>
  <si>
    <t xml:space="preserve">Policy violations: modeled at 0 for every agent week (illustrative).</t>
  </si>
  <si>
    <t xml:space="preserve">Autonomy Score construction</t>
  </si>
  <si>
    <t xml:space="preserve">Inverse Override Rate (1 − override)</t>
  </si>
  <si>
    <t xml:space="preserve">Weight total</t>
  </si>
  <si>
    <t xml:space="preserve">Case-study composite index; illustrative weighting. A high score informs, but never by itself grants, more authority.</t>
  </si>
  <si>
    <t xml:space="preserve">Category</t>
  </si>
  <si>
    <t xml:space="preserve">KPI (week A8)</t>
  </si>
  <si>
    <t xml:space="preserve">Value</t>
  </si>
  <si>
    <t xml:space="preserve">Target</t>
  </si>
  <si>
    <t xml:space="preserve">Status</t>
  </si>
  <si>
    <t xml:space="preserve">Source</t>
  </si>
  <si>
    <t xml:space="preserve">QUALITY</t>
  </si>
  <si>
    <t xml:space="preserve">&gt;=</t>
  </si>
  <si>
    <t xml:space="preserve">AgentOps</t>
  </si>
  <si>
    <t xml:space="preserve">&lt;=</t>
  </si>
  <si>
    <t xml:space="preserve">Recommendation Outcome Quality</t>
  </si>
  <si>
    <t xml:space="preserve">Modeled</t>
  </si>
  <si>
    <t xml:space="preserve">SAFETY</t>
  </si>
  <si>
    <t xml:space="preserve">Correct Abstention Rate</t>
  </si>
  <si>
    <t xml:space="preserve">RELIABILITY</t>
  </si>
  <si>
    <t xml:space="preserve">Tool / API Reliability</t>
  </si>
  <si>
    <t xml:space="preserve">Context Completeness</t>
  </si>
  <si>
    <t xml:space="preserve">Execution Failure Rate</t>
  </si>
  <si>
    <t xml:space="preserve">BUSINESS</t>
  </si>
  <si>
    <t xml:space="preserve">Food Waste Reduction</t>
  </si>
  <si>
    <t xml:space="preserve">Outcome</t>
  </si>
  <si>
    <t xml:space="preserve">Weekly Waste</t>
  </si>
  <si>
    <t xml:space="preserve">Waste Cost Avoided (annual)</t>
  </si>
  <si>
    <t xml:space="preserve">Waste Cost</t>
  </si>
  <si>
    <t xml:space="preserve">Manager Hours Saved / Week</t>
  </si>
  <si>
    <t xml:space="preserve">Operations</t>
  </si>
  <si>
    <t xml:space="preserve">Guest Experience</t>
  </si>
  <si>
    <t xml:space="preserve">Blue values marked 'Modeled' are illustrative assumptions for the case study, not pilot measurements.</t>
  </si>
  <si>
    <t xml:space="preserve">Override Reason</t>
  </si>
  <si>
    <t xml:space="preserve">Overrides (A1–A8)</t>
  </si>
  <si>
    <t xml:space="preserve">Share</t>
  </si>
  <si>
    <t xml:space="preserve">System Improvement</t>
  </si>
  <si>
    <t xml:space="preserve">Missing context</t>
  </si>
  <si>
    <t xml:space="preserve">Add banquet and group-block feed to context layer</t>
  </si>
  <si>
    <t xml:space="preserve">Special event</t>
  </si>
  <si>
    <t xml:space="preserve">Integrate events calendar; lower autonomy on event days</t>
  </si>
  <si>
    <t xml:space="preserve">Forecast disagreement</t>
  </si>
  <si>
    <t xml:space="preserve">Retrain demand model on chef-adjusted actuals</t>
  </si>
  <si>
    <t xml:space="preserve">Guest-experience concern</t>
  </si>
  <si>
    <t xml:space="preserve">Add minimum-display guardrail for signature items</t>
  </si>
  <si>
    <t xml:space="preserve">Inventory constraint</t>
  </si>
  <si>
    <t xml:space="preserve">Refresh inventory feed hourly; block on stale data</t>
  </si>
  <si>
    <t xml:space="preserve">Policy requirement</t>
  </si>
  <si>
    <t xml:space="preserve">Encode the policy as a hard constraint</t>
  </si>
  <si>
    <t xml:space="preserve">Agent error</t>
  </si>
  <si>
    <t xml:space="preserve">Log as defect; add a regression case to the evaluation suite</t>
  </si>
  <si>
    <t xml:space="preserve">Check vs AgentOps overrides</t>
  </si>
  <si>
    <t xml:space="preserve">Reason split is a modeled diagnostic tagging of the 166 pilot overrides (illustrative).</t>
  </si>
  <si>
    <t xml:space="preserve">Drift Scenario (illustrative, post-pilot)</t>
  </si>
  <si>
    <t xml:space="preserve">Trailing 3-wk Avg</t>
  </si>
  <si>
    <t xml:space="preserve">Drift Signal</t>
  </si>
  <si>
    <t xml:space="preserve">P1</t>
  </si>
  <si>
    <t xml:space="preserve">P2</t>
  </si>
  <si>
    <t xml:space="preserve">P3</t>
  </si>
  <si>
    <t xml:space="preserve">P4</t>
  </si>
  <si>
    <t xml:space="preserve">Rule: flag drift when the week's override rate exceeds 1.5× its trailing 3-week average.</t>
  </si>
  <si>
    <t xml:space="preserve">Line Item</t>
  </si>
  <si>
    <t xml:space="preserve">Annual ($)</t>
  </si>
  <si>
    <t xml:space="preserve">Basis</t>
  </si>
  <si>
    <t xml:space="preserve">VALUE</t>
  </si>
  <si>
    <t xml:space="preserve">Food cost avoided (incl. spoilage + inventory utilization)</t>
  </si>
  <si>
    <t xml:space="preserve">Waste Cost sheet</t>
  </si>
  <si>
    <t xml:space="preserve">Coordination capacity redeployed</t>
  </si>
  <si>
    <t xml:space="preserve">Hours saved × 52 × loaded rate</t>
  </si>
  <si>
    <t xml:space="preserve">Gross annual benefit</t>
  </si>
  <si>
    <t xml:space="preserve">AGENTIC AI OPERATING COST (annual)</t>
  </si>
  <si>
    <t xml:space="preserve">Model / API usage</t>
  </si>
  <si>
    <t xml:space="preserve">Modeled assumption (illustrative) — edit to test.</t>
  </si>
  <si>
    <t xml:space="preserve">Monitoring + observability</t>
  </si>
  <si>
    <t xml:space="preserve">Human review of approvals</t>
  </si>
  <si>
    <t xml:space="preserve">Review hours × 52 × loaded rate</t>
  </si>
  <si>
    <t xml:space="preserve">Maintenance + evaluation</t>
  </si>
  <si>
    <t xml:space="preserve">Annual AI operating cost</t>
  </si>
  <si>
    <t xml:space="preserve">ONE-TIME COST</t>
  </si>
  <si>
    <t xml:space="preserve">Integration (PMS, POS, inventory, procurement)</t>
  </si>
  <si>
    <t xml:space="preserve">Training + change management</t>
  </si>
  <si>
    <t xml:space="preserve">Total one-time cost</t>
  </si>
  <si>
    <t xml:space="preserve">INPUTS</t>
  </si>
  <si>
    <t xml:space="preserve">Manager loaded hourly cost ($)</t>
  </si>
  <si>
    <t xml:space="preserve">Manager hours saved / week</t>
  </si>
  <si>
    <t xml:space="preserve">Human review hours / week</t>
  </si>
  <si>
    <t xml:space="preserve">RESULTS</t>
  </si>
  <si>
    <t xml:space="preserve">Net annual benefit (run-rate)</t>
  </si>
  <si>
    <t xml:space="preserve">Year-1 net benefit</t>
  </si>
  <si>
    <t xml:space="preserve">Year-1 ROI</t>
  </si>
  <si>
    <t xml:space="preserve">Payback period (months)</t>
  </si>
  <si>
    <t xml:space="preserve">Value / AI operating cost</t>
  </si>
  <si>
    <t xml:space="preserve">Coordination capacity is redeployed manager time, not a cash saving.</t>
  </si>
  <si>
    <t xml:space="preserve">Scenario Driver</t>
  </si>
  <si>
    <t xml:space="preserve">Conservative</t>
  </si>
  <si>
    <t xml:space="preserve">Base</t>
  </si>
  <si>
    <t xml:space="preserve">Upside</t>
  </si>
  <si>
    <t xml:space="preserve">Waste reduction</t>
  </si>
  <si>
    <t xml:space="preserve">Adoption rate</t>
  </si>
  <si>
    <t xml:space="preserve">AI operating-cost multiplier</t>
  </si>
  <si>
    <t xml:space="preserve">Food purchasing volume index</t>
  </si>
  <si>
    <t xml:space="preserve">Food cost avoided</t>
  </si>
  <si>
    <t xml:space="preserve">Coordination capacity</t>
  </si>
  <si>
    <t xml:space="preserve">Gross benefit</t>
  </si>
  <si>
    <t xml:space="preserve">AI operating cost</t>
  </si>
  <si>
    <t xml:space="preserve">Net annual benefit</t>
  </si>
  <si>
    <t xml:space="preserve">Payback (months)</t>
  </si>
  <si>
    <t xml:space="preserve">One-way sensitivity (Base net benefit)</t>
  </si>
  <si>
    <t xml:space="preserve">Low Case</t>
  </si>
  <si>
    <t xml:space="preserve">High Case</t>
  </si>
  <si>
    <t xml:space="preserve">Swing</t>
  </si>
  <si>
    <t xml:space="preserve">Waste reduction (15% → Upside)</t>
  </si>
  <si>
    <t xml:space="preserve">Adoption rate (70% → 100%)</t>
  </si>
  <si>
    <t xml:space="preserve">Food purchasing volume (−20% → +20%)</t>
  </si>
  <si>
    <t xml:space="preserve">AI operating cost (×1.5 → ×0.5)</t>
  </si>
  <si>
    <t xml:space="preserve">Forecast improvement is expressed through the waste-reduction driver. All scenario inputs are modeled assumptions.</t>
  </si>
  <si>
    <t xml:space="preserve">10 · STRATEGY EXECUTION &amp; PERFORMANCE MANAGEMENT</t>
  </si>
  <si>
    <t xml:space="preserve">What does leadership actually do with these metrics?</t>
  </si>
  <si>
    <t xml:space="preserve">INSIGHT   →   DECISION   →   OWNER   →   ACTION   →   MEASUREMENT   →   STRATEGIC OUTCOME</t>
  </si>
  <si>
    <t xml:space="preserve">Governance review week</t>
  </si>
  <si>
    <t xml:space="preserve">◄ Select A1–A8 from the drop-down. Drives Sections A, B and D and the AI-governance row in F. A6 is the week the readiness gate held; switch to A8 for the end-of-pilot review.</t>
  </si>
  <si>
    <t xml:space="preserve">All values are calculated in this workbook from modeled case-study data (12-week pilot scenario), not realized hotel performance.</t>
  </si>
  <si>
    <t xml:space="preserve">A · STRATEGY MAP</t>
  </si>
  <si>
    <t xml:space="preserve">Four strategic objectives in causal order, with AI governance as the enabler beneath them. Each objective's status rolls up automatically from the Section B scorecard: its weakest KPI sets the status.</t>
  </si>
  <si>
    <t xml:space="preserve">Level</t>
  </si>
  <si>
    <t xml:space="preserve">Strategic Objective</t>
  </si>
  <si>
    <t xml:space="preserve">KPIs (Section B)</t>
  </si>
  <si>
    <t xml:space="preserve">Leadership Question</t>
  </si>
  <si>
    <t xml:space="preserve">OBJECTIVE 1</t>
  </si>
  <si>
    <t xml:space="preserve">Improve Decision Intelligence</t>
  </si>
  <si>
    <t xml:space="preserve">Forecast MAPE · Recommendation Acceptance · Context Completeness</t>
  </si>
  <si>
    <t xml:space="preserve">Do we know what demand to expect?</t>
  </si>
  <si>
    <t xml:space="preserve">↓</t>
  </si>
  <si>
    <t xml:space="preserve">OBJECTIVE 2</t>
  </si>
  <si>
    <t xml:space="preserve">Improve Operational Efficiency</t>
  </si>
  <si>
    <t xml:space="preserve">Overproduction · Waste per Cover · Food Waste · Manager Hours Saved</t>
  </si>
  <si>
    <t xml:space="preserve">Are we producing only what guests will use?</t>
  </si>
  <si>
    <t xml:space="preserve">OBJECTIVE 3</t>
  </si>
  <si>
    <t xml:space="preserve">Protect Guest Value</t>
  </si>
  <si>
    <t xml:space="preserve">Guest F&amp;B Score · Guest Experience Guardrail · Service-Related Exceptions</t>
  </si>
  <si>
    <t xml:space="preserve">Is the guest experience protected?</t>
  </si>
  <si>
    <t xml:space="preserve">OBJECTIVE 4</t>
  </si>
  <si>
    <t xml:space="preserve">Create Sustainable Business Value</t>
  </si>
  <si>
    <t xml:space="preserve">Food Cost Avoided · Net Annual Benefit · ROI · Payback Period</t>
  </si>
  <si>
    <t xml:space="preserve">Is it worth it, net of the AI's own cost?</t>
  </si>
  <si>
    <t xml:space="preserve">ENABLER</t>
  </si>
  <si>
    <t xml:space="preserve">Earn Greater AI Autonomy</t>
  </si>
  <si>
    <t xml:space="preserve">Reliability · Escalation Recall · Override Rate · Readiness Gate</t>
  </si>
  <si>
    <t xml:space="preserve">Has the agent earned more decision authority?</t>
  </si>
  <si>
    <t xml:space="preserve">CAUSAL LOGIC:   BETTER DECISION INTELLIGENCE  →  BETTER OPERATING DECISIONS  →  LOWER RESOURCE WASTE  →  GUEST EXPERIENCE PROTECTED  →  MEASURABLE BUSINESS VALUE</t>
  </si>
  <si>
    <t xml:space="preserve">B · EXECUTIVE SCORECARD</t>
  </si>
  <si>
    <t xml:space="preserve">CALCULATION HELPERS · blue = editable</t>
  </si>
  <si>
    <t xml:space="preserve">KPI</t>
  </si>
  <si>
    <t xml:space="preserve">Current</t>
  </si>
  <si>
    <t xml:space="preserve">Variance</t>
  </si>
  <si>
    <t xml:space="preserve">Trend</t>
  </si>
  <si>
    <t xml:space="preserve">Owner</t>
  </si>
  <si>
    <t xml:space="preserve">Review Cadence</t>
  </si>
  <si>
    <t xml:space="preserve">Strategic Initiative</t>
  </si>
  <si>
    <t xml:space="preserve">Required Action</t>
  </si>
  <si>
    <t xml:space="preserve">Direction</t>
  </si>
  <si>
    <t xml:space="preserve">Tolerance</t>
  </si>
  <si>
    <t xml:space="preserve">Data Source</t>
  </si>
  <si>
    <t xml:space="preserve">Action if not on track</t>
  </si>
  <si>
    <t xml:space="preserve">Display format</t>
  </si>
  <si>
    <t xml:space="preserve">AI / Product</t>
  </si>
  <si>
    <t xml:space="preserve">Weekly</t>
  </si>
  <si>
    <t xml:space="preserve">Improve demand forecasting</t>
  </si>
  <si>
    <t xml:space="preserve">Lower</t>
  </si>
  <si>
    <t xml:space="preserve">retrain the demand model on chef-adjusted actuals</t>
  </si>
  <si>
    <t xml:space="preserve">0.0%</t>
  </si>
  <si>
    <t xml:space="preserve">Introduce governed production recommendations</t>
  </si>
  <si>
    <t xml:space="preserve">Higher</t>
  </si>
  <si>
    <t xml:space="preserve">review rejected recommendations with chefs</t>
  </si>
  <si>
    <t xml:space="preserve">Context Completeness (A8, modeled)</t>
  </si>
  <si>
    <t xml:space="preserve">IT / Data</t>
  </si>
  <si>
    <t xml:space="preserve">Daily</t>
  </si>
  <si>
    <t xml:space="preserve">Connect inventory context</t>
  </si>
  <si>
    <t xml:space="preserve">Control Room (modeled)</t>
  </si>
  <si>
    <t xml:space="preserve">restore missing data feeds before execution</t>
  </si>
  <si>
    <t xml:space="preserve">Weekly Food Waste (kg)</t>
  </si>
  <si>
    <t xml:space="preserve">F&amp;B Leadership</t>
  </si>
  <si>
    <t xml:space="preserve">Monitor waste root causes</t>
  </si>
  <si>
    <t xml:space="preserve">run a root-cause review on the top waste category</t>
  </si>
  <si>
    <t xml:space="preserve">#,##0</t>
  </si>
  <si>
    <t xml:space="preserve">Overproduction (kg / week, final 4-wk avg)</t>
  </si>
  <si>
    <t xml:space="preserve">Waste by Source</t>
  </si>
  <si>
    <t xml:space="preserve">tighten prep ranges on chronic items</t>
  </si>
  <si>
    <t xml:space="preserve">Waste per Cover (kg)</t>
  </si>
  <si>
    <t xml:space="preserve">review portioning and buffet refill rules</t>
  </si>
  <si>
    <t xml:space="preserve">0.000</t>
  </si>
  <si>
    <t xml:space="preserve">Monthly</t>
  </si>
  <si>
    <t xml:space="preserve">remove manual re-work from the approval flow</t>
  </si>
  <si>
    <t xml:space="preserve">0.0</t>
  </si>
  <si>
    <t xml:space="preserve">Operate readiness gate</t>
  </si>
  <si>
    <t xml:space="preserve">pause reductions on affected menu items</t>
  </si>
  <si>
    <t xml:space="preserve">0.00</t>
  </si>
  <si>
    <t xml:space="preserve">Guest Experience Guardrail (% of agent weeks ≥ score floor)</t>
  </si>
  <si>
    <t xml:space="preserve">Risk / Governance</t>
  </si>
  <si>
    <t xml:space="preserve">reduce autonomy and investigate guest impact</t>
  </si>
  <si>
    <t xml:space="preserve">0%</t>
  </si>
  <si>
    <t xml:space="preserve">Service-Related Exceptions / Week (modeled)</t>
  </si>
  <si>
    <t xml:space="preserve">Modeled input (illustrative)</t>
  </si>
  <si>
    <t xml:space="preserve">review stockouts against production cuts</t>
  </si>
  <si>
    <t xml:space="preserve">0</t>
  </si>
  <si>
    <t xml:space="preserve">Food Cost Avoided (annual)</t>
  </si>
  <si>
    <t xml:space="preserve">Quarterly</t>
  </si>
  <si>
    <t xml:space="preserve">Agent-enabled demand and production decision system</t>
  </si>
  <si>
    <t xml:space="preserve">re-baseline purchasing assumptions</t>
  </si>
  <si>
    <t xml:space="preserve">$#,##0</t>
  </si>
  <si>
    <t xml:space="preserve">Net Annual Benefit (after AI cost)</t>
  </si>
  <si>
    <t xml:space="preserve">Economics · Sensitivity</t>
  </si>
  <si>
    <t xml:space="preserve">revisit AI operating-cost assumptions</t>
  </si>
  <si>
    <t xml:space="preserve">Economics</t>
  </si>
  <si>
    <t xml:space="preserve">phase integration spend</t>
  </si>
  <si>
    <t xml:space="preserve">Tool / System Reliability</t>
  </si>
  <si>
    <t xml:space="preserve">AgentOps · Readiness Gate</t>
  </si>
  <si>
    <t xml:space="preserve">fix failing integrations before any authority review</t>
  </si>
  <si>
    <t xml:space="preserve">Review human overrides</t>
  </si>
  <si>
    <t xml:space="preserve">audit missed escalations</t>
  </si>
  <si>
    <t xml:space="preserve">AgentOps · Overrides</t>
  </si>
  <si>
    <t xml:space="preserve">diagnose override reasons and retrain</t>
  </si>
  <si>
    <t xml:space="preserve">Production Readiness Gate (all 8 criteria)</t>
  </si>
  <si>
    <t xml:space="preserve">PASS</t>
  </si>
  <si>
    <t xml:space="preserve">—</t>
  </si>
  <si>
    <t xml:space="preserve">Readiness Gate</t>
  </si>
  <si>
    <t xml:space="preserve">resolve the first blocker</t>
  </si>
  <si>
    <t xml:space="preserve">@</t>
  </si>
  <si>
    <t xml:space="preserve">Status: ON TRACK = meets target · AT RISK = misses target but within tolerance (col O) · OFF TRACK = outside tolerance. Readiness-gate criteria use zero tolerance. Trend compares Current with Baseline (baseline for agent-only metrics = week A1). Blue = editable illustrative targets and tolerances; green = linked from other sheets; black = calculated.</t>
  </si>
  <si>
    <t xml:space="preserve">C · PERDOO-STYLE STRATEGY / OKR VIEW</t>
  </si>
  <si>
    <t xml:space="preserve">OBJECTIVE</t>
  </si>
  <si>
    <t xml:space="preserve">Reduce avoidable food waste without compromising guest experience.</t>
  </si>
  <si>
    <t xml:space="preserve">#</t>
  </si>
  <si>
    <t xml:space="preserve">Key Result</t>
  </si>
  <si>
    <t xml:space="preserve">KR Type</t>
  </si>
  <si>
    <t xml:space="preserve">Start</t>
  </si>
  <si>
    <t xml:space="preserve">Progress</t>
  </si>
  <si>
    <t xml:space="preserve">Progress Indicator</t>
  </si>
  <si>
    <t xml:space="preserve">Initiatives</t>
  </si>
  <si>
    <t xml:space="preserve">KR 1</t>
  </si>
  <si>
    <t xml:space="preserve">Reduce modeled weekly food waste by ≥ 30%</t>
  </si>
  <si>
    <t xml:space="preserve">Decrease by</t>
  </si>
  <si>
    <t xml:space="preserve">Monitor waste root causes · Introduce governed production recommendations</t>
  </si>
  <si>
    <t xml:space="preserve">KR 2</t>
  </si>
  <si>
    <t xml:space="preserve">Maintain Guest F&amp;B Score ≥ 4.60</t>
  </si>
  <si>
    <t xml:space="preserve">Maintain ≥</t>
  </si>
  <si>
    <t xml:space="preserve">KR 3</t>
  </si>
  <si>
    <t xml:space="preserve">Maintain Forecast MAPE ≤ 10%</t>
  </si>
  <si>
    <t xml:space="preserve">Maintain ≤</t>
  </si>
  <si>
    <t xml:space="preserve">KR 4</t>
  </si>
  <si>
    <t xml:space="preserve">Maintain total system reliability ≥ 99%</t>
  </si>
  <si>
    <t xml:space="preserve">Operate readiness gate · Connect inventory context</t>
  </si>
  <si>
    <t xml:space="preserve">Initiative</t>
  </si>
  <si>
    <t xml:space="preserve">Linked Key Results</t>
  </si>
  <si>
    <t xml:space="preserve">Evidence (end of pilot)</t>
  </si>
  <si>
    <t xml:space="preserve">What It Changes</t>
  </si>
  <si>
    <t xml:space="preserve">INIT 1</t>
  </si>
  <si>
    <t xml:space="preserve">Demand Agent adds reservations, events and weather</t>
  </si>
  <si>
    <t xml:space="preserve">INIT 2</t>
  </si>
  <si>
    <t xml:space="preserve">Inventory Agent reads stock, shelf life and procurement</t>
  </si>
  <si>
    <t xml:space="preserve">INIT 3</t>
  </si>
  <si>
    <t xml:space="preserve">Orchestrator plans; approvals routed by risk</t>
  </si>
  <si>
    <t xml:space="preserve">INIT 4</t>
  </si>
  <si>
    <t xml:space="preserve">Waste Agent tags weight, category and reason</t>
  </si>
  <si>
    <t xml:space="preserve">INIT 5</t>
  </si>
  <si>
    <t xml:space="preserve">KR 2 · KR 4</t>
  </si>
  <si>
    <t xml:space="preserve">8 thresholds; autonomy expands only on evidence</t>
  </si>
  <si>
    <t xml:space="preserve">INIT 6</t>
  </si>
  <si>
    <t xml:space="preserve">KR 1 – KR 4</t>
  </si>
  <si>
    <t xml:space="preserve">Override → reason → diagnosis → system improvement</t>
  </si>
  <si>
    <t xml:space="preserve">D · CLEARPOINT STRATEGY-STYLE PERFORMANCE VIEW</t>
  </si>
  <si>
    <t xml:space="preserve">Measure</t>
  </si>
  <si>
    <t xml:space="preserve">Actual</t>
  </si>
  <si>
    <t xml:space="preserve">Management Commentary</t>
  </si>
  <si>
    <t xml:space="preserve">Objective roll-up · all Section B measures</t>
  </si>
  <si>
    <t xml:space="preserve">E · STRATEGY-TO-EXECUTION MATRIX</t>
  </si>
  <si>
    <t xml:space="preserve">Connects the whole case study: priority → objective → KPI → data source → target → actual → status → owner → decision → business impact. Pilot results, except AI Governance, which reads the review week in cell B4.</t>
  </si>
  <si>
    <t xml:space="preserve">Strategic Priority</t>
  </si>
  <si>
    <t xml:space="preserve">Objective</t>
  </si>
  <si>
    <t xml:space="preserve">Decision</t>
  </si>
  <si>
    <t xml:space="preserve">Business Impact</t>
  </si>
  <si>
    <t xml:space="preserve">SUSTAINABILITY</t>
  </si>
  <si>
    <t xml:space="preserve">Reduce preventable waste</t>
  </si>
  <si>
    <t xml:space="preserve">Food waste (4-wk avg vs baseline)</t>
  </si>
  <si>
    <t xml:space="preserve">F&amp;B / Operations</t>
  </si>
  <si>
    <t xml:space="preserve">OPERATIONAL EXCELLENCE</t>
  </si>
  <si>
    <t xml:space="preserve">Improve production decisions</t>
  </si>
  <si>
    <t xml:space="preserve">Forecast MAPE (week A8)</t>
  </si>
  <si>
    <t xml:space="preserve">GUEST VALUE</t>
  </si>
  <si>
    <t xml:space="preserve">Protect experience</t>
  </si>
  <si>
    <t xml:space="preserve">Guest F&amp;B Score (week A8)</t>
  </si>
  <si>
    <t xml:space="preserve">Efficiency gains do not come at the guest's expense</t>
  </si>
  <si>
    <t xml:space="preserve">AI GOVERNANCE</t>
  </si>
  <si>
    <t xml:space="preserve">Earn autonomy</t>
  </si>
  <si>
    <t xml:space="preserve">Tool / system reliability (review week)</t>
  </si>
  <si>
    <t xml:space="preserve">FINANCIAL PERFORMANCE</t>
  </si>
  <si>
    <t xml:space="preserve">Create measurable value</t>
  </si>
  <si>
    <t xml:space="preserve">Net annual benefit (pilot-result scenario)</t>
  </si>
  <si>
    <t xml:space="preserve">F · OPERATING MODEL · SIGNAL TO DECISION</t>
  </si>
  <si>
    <t xml:space="preserve">ENTERPRISE OPERATING ARCHITECTURE   ·   FROM OPERATIONAL SIGNAL TO LEADERSHIP DECISION</t>
  </si>
  <si>
    <t xml:space="preserve">1 · DATA</t>
  </si>
  <si>
    <t xml:space="preserve">OPERATIONAL DATA   ·   PMS  |  POS  |  INVENTORY  |  WASTE</t>
  </si>
  <si>
    <t xml:space="preserve">2 · DECISIONS</t>
  </si>
  <si>
    <t xml:space="preserve">AGENTIC AI DECISION SYSTEM   ·   specialist agents → orchestrator → governance → action</t>
  </si>
  <si>
    <t xml:space="preserve">3 · ANALYTICS</t>
  </si>
  <si>
    <t xml:space="preserve">EXCEL ANALYTICAL MODEL (this workbook)   ·   Analysis · Forecasting · Financial Modeling · Readiness Gates · Scenario Testing</t>
  </si>
  <si>
    <t xml:space="preserve">4 · EXECUTION</t>
  </si>
  <si>
    <t xml:space="preserve">STRATEGY EXECUTION LAYER   ·   model outputs structured for OKR alignment and executive scorecard governance</t>
  </si>
  <si>
    <t xml:space="preserve">OKR Alignment</t>
  </si>
  <si>
    <t xml:space="preserve">Perdoo-style architecture · pillars → objectives → key results → initiatives   →   Section C</t>
  </si>
  <si>
    <t xml:space="preserve">Executive Scorecard</t>
  </si>
  <si>
    <t xml:space="preserve">ClearPoint-style architecture · measures roll up to objectives with live commentary   →   Section D</t>
  </si>
  <si>
    <t xml:space="preserve">5 · LEADERSHIP</t>
  </si>
  <si>
    <t xml:space="preserve">Continue</t>
  </si>
  <si>
    <t xml:space="preserve">Investigate</t>
  </si>
  <si>
    <t xml:space="preserve">Escalate</t>
  </si>
  <si>
    <t xml:space="preserve">Hold Autonomy</t>
  </si>
  <si>
    <t xml:space="preserve">Adjust Initiative</t>
  </si>
  <si>
    <t xml:space="preserve">Scale</t>
  </si>
  <si>
    <t xml:space="preserve">Decision logic: ON TRACK → Continue · AT RISK → Investigate · OFF TRACK → Escalate (operations and guest), Adjust Initiative (financial), Hold Autonomy (AI governance) · Readiness gate PASS → Scale.</t>
  </si>
</sst>
</file>

<file path=xl/styles.xml><?xml version="1.0" encoding="utf-8"?>
<styleSheet xmlns="http://schemas.openxmlformats.org/spreadsheetml/2006/main">
  <numFmts count="31">
    <numFmt numFmtId="164" formatCode="General"/>
    <numFmt numFmtId="165" formatCode="0"/>
    <numFmt numFmtId="166" formatCode="0.0%"/>
    <numFmt numFmtId="167" formatCode="0%"/>
    <numFmt numFmtId="168" formatCode="\$#,##0;&quot;($&quot;#,##0\)"/>
    <numFmt numFmtId="169" formatCode="\$#,##0"/>
    <numFmt numFmtId="170" formatCode="0.000"/>
    <numFmt numFmtId="171" formatCode="0.00"/>
    <numFmt numFmtId="172" formatCode="0.0"/>
    <numFmt numFmtId="173" formatCode="0.0\x"/>
    <numFmt numFmtId="174" formatCode="&quot;≤ &quot;0.0%"/>
    <numFmt numFmtId="175" formatCode="\+0.0%;\-0.0%;0.0%"/>
    <numFmt numFmtId="176" formatCode="&quot;≥ &quot;0.0%"/>
    <numFmt numFmtId="177" formatCode="#,##0"/>
    <numFmt numFmtId="178" formatCode="&quot;≤ &quot;#,##0"/>
    <numFmt numFmtId="179" formatCode="\+#,##0;\-#,##0;0"/>
    <numFmt numFmtId="180" formatCode="&quot;≤ &quot;0.000"/>
    <numFmt numFmtId="181" formatCode="\+0.000;\-0.000;0.000"/>
    <numFmt numFmtId="182" formatCode="&quot;≥ &quot;0.0"/>
    <numFmt numFmtId="183" formatCode="\+0.0;\-0.0;0.0"/>
    <numFmt numFmtId="184" formatCode="&quot;≥ &quot;0.00"/>
    <numFmt numFmtId="185" formatCode="\+0.00;\-0.00;0.00"/>
    <numFmt numFmtId="186" formatCode="&quot;≥ &quot;0%"/>
    <numFmt numFmtId="187" formatCode="\+0%;\-0%;0%"/>
    <numFmt numFmtId="188" formatCode="&quot;≤ &quot;0"/>
    <numFmt numFmtId="189" formatCode="\+0;\-0;0"/>
    <numFmt numFmtId="190" formatCode="&quot;≥ $&quot;#,##0"/>
    <numFmt numFmtId="191" formatCode="&quot;+$&quot;#,##0;&quot;-$&quot;#,##0;\$0"/>
    <numFmt numFmtId="192" formatCode="&quot;≤ &quot;0.0"/>
    <numFmt numFmtId="193" formatCode="&quot;≤ &quot;0%;&quot;≤ -&quot;0%"/>
    <numFmt numFmtId="194" formatCode="&quot;≤ &quot;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ptos"/>
      <family val="0"/>
      <charset val="1"/>
    </font>
    <font>
      <sz val="10"/>
      <name val="Aptos"/>
      <family val="0"/>
      <charset val="1"/>
    </font>
    <font>
      <b val="true"/>
      <sz val="10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0"/>
      <color rgb="FF214E34"/>
      <name val="Aptos"/>
      <family val="0"/>
      <charset val="1"/>
    </font>
    <font>
      <sz val="10"/>
      <color rgb="FF0000FF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0"/>
      <charset val="1"/>
    </font>
    <font>
      <b val="true"/>
      <sz val="10"/>
      <color rgb="FF214E34"/>
      <name val="Aptos"/>
      <family val="0"/>
      <charset val="1"/>
    </font>
    <font>
      <b val="true"/>
      <sz val="16"/>
      <color rgb="FF214E34"/>
      <name val="Aptos"/>
      <family val="0"/>
      <charset val="1"/>
    </font>
    <font>
      <i val="true"/>
      <sz val="11"/>
      <color rgb="FF3A3C35"/>
      <name val="Aptos"/>
      <family val="0"/>
      <charset val="1"/>
    </font>
    <font>
      <b val="true"/>
      <sz val="11"/>
      <color rgb="FF0000FF"/>
      <name val="Aptos"/>
      <family val="0"/>
      <charset val="1"/>
    </font>
    <font>
      <b val="true"/>
      <sz val="12"/>
      <color rgb="FFFFFFFF"/>
      <name val="Aptos"/>
      <family val="0"/>
      <charset val="1"/>
    </font>
    <font>
      <b val="true"/>
      <sz val="11"/>
      <color rgb="FF214E34"/>
      <name val="Aptos"/>
      <family val="0"/>
      <charset val="1"/>
    </font>
    <font>
      <i val="true"/>
      <sz val="10"/>
      <color rgb="FF3A3C35"/>
      <name val="Aptos"/>
      <family val="0"/>
      <charset val="1"/>
    </font>
    <font>
      <b val="true"/>
      <sz val="14"/>
      <color rgb="FF214E34"/>
      <name val="Aptos"/>
      <family val="0"/>
      <charset val="1"/>
    </font>
    <font>
      <sz val="9"/>
      <color rgb="FF5C5F57"/>
      <name val="Aptos"/>
      <family val="0"/>
      <charset val="1"/>
    </font>
    <font>
      <sz val="10"/>
      <color rgb="FF8A8F86"/>
      <name val="Aptos"/>
      <family val="0"/>
      <charset val="1"/>
    </font>
    <font>
      <sz val="10"/>
      <color rgb="FF214E34"/>
      <name val="Aptos"/>
      <family val="0"/>
      <charset val="1"/>
    </font>
    <font>
      <b val="true"/>
      <sz val="10"/>
      <color rgb="FF24261F"/>
      <name val="Aptos"/>
      <family val="0"/>
      <charset val="1"/>
    </font>
    <font>
      <b val="true"/>
      <sz val="11"/>
      <color rgb="FF6B4F22"/>
      <name val="Apto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14E34"/>
        <bgColor rgb="FF1B5E36"/>
      </patternFill>
    </fill>
    <fill>
      <patternFill patternType="solid">
        <fgColor rgb="FFF2F5F0"/>
        <bgColor rgb="FFFAF7F0"/>
      </patternFill>
    </fill>
    <fill>
      <patternFill patternType="solid">
        <fgColor rgb="FFE6ECDF"/>
        <bgColor rgb="FFE6EFE8"/>
      </patternFill>
    </fill>
    <fill>
      <patternFill patternType="solid">
        <fgColor rgb="FFFBF4E6"/>
        <bgColor rgb="FFFAF7F0"/>
      </patternFill>
    </fill>
    <fill>
      <patternFill patternType="solid">
        <fgColor rgb="FFE6EFE8"/>
        <bgColor rgb="FFE6ECDF"/>
      </patternFill>
    </fill>
    <fill>
      <patternFill patternType="solid">
        <fgColor rgb="FFFAF7F0"/>
        <bgColor rgb="FFFBF4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4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5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6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7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8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9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7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8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0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1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2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3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4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5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6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7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8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9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90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91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90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92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93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94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6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6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7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2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6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90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93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6E9DC"/>
        </patternFill>
      </fill>
    </dxf>
    <dxf>
      <fill>
        <patternFill>
          <bgColor rgb="FFF6E7C8"/>
        </patternFill>
      </fill>
    </dxf>
    <dxf>
      <font>
        <name val="Aptos"/>
        <charset val="1"/>
        <family val="0"/>
        <b val="1"/>
        <color rgb="FF1B5E36"/>
        <sz val="10"/>
      </font>
      <fill>
        <patternFill>
          <bgColor rgb="FFD6E9DC"/>
        </patternFill>
      </fill>
    </dxf>
    <dxf>
      <font>
        <name val="Aptos"/>
        <charset val="1"/>
        <family val="0"/>
        <b val="1"/>
        <color rgb="FF6B4F22"/>
        <sz val="10"/>
      </font>
      <fill>
        <patternFill>
          <bgColor rgb="FFF6E7C8"/>
        </patternFill>
      </fill>
    </dxf>
    <dxf>
      <font>
        <name val="Aptos"/>
        <charset val="1"/>
        <family val="0"/>
        <b val="1"/>
        <color rgb="FF8A2E1F"/>
        <sz val="10"/>
      </font>
      <fill>
        <patternFill>
          <bgColor rgb="FFF2D4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7A45"/>
      <rgbColor rgb="FF800080"/>
      <rgbColor rgb="FF1B5E36"/>
      <rgbColor rgb="FF8EA487"/>
      <rgbColor rgb="FF878787"/>
      <rgbColor rgb="FF9999FF"/>
      <rgbColor rgb="FF6B4F22"/>
      <rgbColor rgb="FFFBF4E6"/>
      <rgbColor rgb="FFE6EF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0"/>
      <rgbColor rgb="FFD6E9DC"/>
      <rgbColor rgb="FFF6E7C8"/>
      <rgbColor rgb="FFE6ECDF"/>
      <rgbColor rgb="FFFAF7F0"/>
      <rgbColor rgb="FFCC99FF"/>
      <rgbColor rgb="FFF2D4CD"/>
      <rgbColor rgb="FF3366FF"/>
      <rgbColor rgb="FF33CCCC"/>
      <rgbColor rgb="FF99CC00"/>
      <rgbColor rgb="FFFFCC00"/>
      <rgbColor rgb="FFFF9900"/>
      <rgbColor rgb="FFFF6600"/>
      <rgbColor rgb="FF5C5F57"/>
      <rgbColor rgb="FF8A8F86"/>
      <rgbColor rgb="FF214E34"/>
      <rgbColor rgb="FF339966"/>
      <rgbColor rgb="FF003300"/>
      <rgbColor rgb="FF24261F"/>
      <rgbColor rgb="FF8A2E1F"/>
      <rgbColor rgb="FF993366"/>
      <rgbColor rgb="FF333399"/>
      <rgbColor rgb="FF3A3C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Food Waste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'Weekly Waste'!C1</c:f>
              <c:strCache>
                <c:ptCount val="1"/>
                <c:pt idx="0">
                  <c:v>Food Waste (kg)</c:v>
                </c:pt>
              </c:strCache>
            </c:strRef>
          </c:tx>
          <c:spPr>
            <a:solidFill>
              <a:srgbClr val="214e34"/>
            </a:solidFill>
            <a:ln w="28440">
              <a:solidFill>
                <a:srgbClr val="214e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Waste'!$A$2:$A$13</c:f>
              <c:strCache>
                <c:ptCount val="12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A1</c:v>
                </c:pt>
                <c:pt idx="5">
                  <c:v>A2</c:v>
                </c:pt>
                <c:pt idx="6">
                  <c:v>A3</c:v>
                </c:pt>
                <c:pt idx="7">
                  <c:v>A4</c:v>
                </c:pt>
                <c:pt idx="8">
                  <c:v>A5</c:v>
                </c:pt>
                <c:pt idx="9">
                  <c:v>A6</c:v>
                </c:pt>
                <c:pt idx="10">
                  <c:v>A7</c:v>
                </c:pt>
                <c:pt idx="11">
                  <c:v>A8</c:v>
                </c:pt>
              </c:strCache>
            </c:strRef>
          </c:cat>
          <c:val>
            <c:numRef>
              <c:f>'Weekly Waste'!$C$2:$C$13</c:f>
              <c:numCache>
                <c:formatCode>General</c:formatCode>
                <c:ptCount val="12"/>
                <c:pt idx="0">
                  <c:v>486</c:v>
                </c:pt>
                <c:pt idx="1">
                  <c:v>501</c:v>
                </c:pt>
                <c:pt idx="2">
                  <c:v>472</c:v>
                </c:pt>
                <c:pt idx="3">
                  <c:v>495</c:v>
                </c:pt>
                <c:pt idx="4">
                  <c:v>443</c:v>
                </c:pt>
                <c:pt idx="5">
                  <c:v>409</c:v>
                </c:pt>
                <c:pt idx="6">
                  <c:v>381</c:v>
                </c:pt>
                <c:pt idx="7">
                  <c:v>352</c:v>
                </c:pt>
                <c:pt idx="8">
                  <c:v>329</c:v>
                </c:pt>
                <c:pt idx="9">
                  <c:v>310</c:v>
                </c:pt>
                <c:pt idx="10">
                  <c:v>296</c:v>
                </c:pt>
                <c:pt idx="11">
                  <c:v>281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767681"/>
        <c:axId val="74251109"/>
      </c:lineChart>
      <c:catAx>
        <c:axId val="227676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51109"/>
        <c:crosses val="autoZero"/>
        <c:auto val="1"/>
        <c:lblAlgn val="ctr"/>
        <c:lblOffset val="100"/>
        <c:noMultiLvlLbl val="0"/>
      </c:catAx>
      <c:valAx>
        <c:axId val="74251109"/>
        <c:scaling>
          <c:orientation val="minMax"/>
          <c:max val="550"/>
          <c:min val="2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676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Waste by Source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'Waste by Source'!B1</c:f>
              <c:strCache>
                <c:ptCount val="1"/>
                <c:pt idx="0">
                  <c:v>Baseline (kg/wk)</c:v>
                </c:pt>
              </c:strCache>
            </c:strRef>
          </c:tx>
          <c:spPr>
            <a:solidFill>
              <a:srgbClr val="214e34"/>
            </a:solidFill>
            <a:ln w="0">
              <a:solidFill>
                <a:srgbClr val="214e3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'Waste by Source'!$A$2:$A$6</c:f>
              <c:strCache>
                <c:ptCount val="5"/>
                <c:pt idx="0">
                  <c:v>Overproduction</c:v>
                </c:pt>
                <c:pt idx="1">
                  <c:v>Buffet Excess</c:v>
                </c:pt>
                <c:pt idx="2">
                  <c:v>Spoilage</c:v>
                </c:pt>
                <c:pt idx="3">
                  <c:v>Prep Waste</c:v>
                </c:pt>
                <c:pt idx="4">
                  <c:v>Plate Waste</c:v>
                </c:pt>
              </c:strCache>
            </c:strRef>
          </c:cat>
          <c:val>
            <c:numRef>
              <c:f>'Waste by Source'!$B$2:$B$6</c:f>
              <c:numCache>
                <c:formatCode>General</c:formatCode>
                <c:ptCount val="5"/>
                <c:pt idx="0">
                  <c:v>215</c:v>
                </c:pt>
                <c:pt idx="1">
                  <c:v>108</c:v>
                </c:pt>
                <c:pt idx="2">
                  <c:v>92</c:v>
                </c:pt>
                <c:pt idx="3">
                  <c:v>44</c:v>
                </c:pt>
                <c:pt idx="4">
                  <c:v>30</c:v>
                </c:pt>
              </c:numCache>
            </c:numRef>
          </c:val>
        </c:ser>
        <c:ser>
          <c:idx val="1"/>
          <c:order val="1"/>
          <c:tx>
            <c:strRef>
              <c:f>'Waste by Source'!C1</c:f>
              <c:strCache>
                <c:ptCount val="1"/>
                <c:pt idx="0">
                  <c:v>With Agents (kg/wk)</c:v>
                </c:pt>
              </c:strCache>
            </c:strRef>
          </c:tx>
          <c:spPr>
            <a:solidFill>
              <a:srgbClr val="8ea487"/>
            </a:solidFill>
            <a:ln w="0">
              <a:solidFill>
                <a:srgbClr val="8ea48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'Waste by Source'!$A$2:$A$6</c:f>
              <c:strCache>
                <c:ptCount val="5"/>
                <c:pt idx="0">
                  <c:v>Overproduction</c:v>
                </c:pt>
                <c:pt idx="1">
                  <c:v>Buffet Excess</c:v>
                </c:pt>
                <c:pt idx="2">
                  <c:v>Spoilage</c:v>
                </c:pt>
                <c:pt idx="3">
                  <c:v>Prep Waste</c:v>
                </c:pt>
                <c:pt idx="4">
                  <c:v>Plate Waste</c:v>
                </c:pt>
              </c:strCache>
            </c:strRef>
          </c:cat>
          <c:val>
            <c:numRef>
              <c:f>'Waste by Source'!$C$2:$C$6</c:f>
              <c:numCache>
                <c:formatCode>General</c:formatCode>
                <c:ptCount val="5"/>
                <c:pt idx="0">
                  <c:v>103</c:v>
                </c:pt>
                <c:pt idx="1">
                  <c:v>76</c:v>
                </c:pt>
                <c:pt idx="2">
                  <c:v>56</c:v>
                </c:pt>
                <c:pt idx="3">
                  <c:v>39</c:v>
                </c:pt>
                <c:pt idx="4">
                  <c:v>30</c:v>
                </c:pt>
              </c:numCache>
            </c:numRef>
          </c:val>
        </c:ser>
        <c:gapWidth val="150"/>
        <c:overlap val="0"/>
        <c:axId val="92765332"/>
        <c:axId val="66959863"/>
      </c:barChart>
      <c:catAx>
        <c:axId val="927653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59863"/>
        <c:crosses val="autoZero"/>
        <c:auto val="1"/>
        <c:lblAlgn val="ctr"/>
        <c:lblOffset val="100"/>
        <c:noMultiLvlLbl val="0"/>
      </c:catAx>
      <c:valAx>
        <c:axId val="669598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653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Forecast MAPE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'Forecast MAPE'!C1</c:f>
              <c:strCache>
                <c:ptCount val="1"/>
                <c:pt idx="0">
                  <c:v>Forecast MAPE</c:v>
                </c:pt>
              </c:strCache>
            </c:strRef>
          </c:tx>
          <c:spPr>
            <a:solidFill>
              <a:srgbClr val="214e34"/>
            </a:solidFill>
            <a:ln w="28440">
              <a:solidFill>
                <a:srgbClr val="214e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'Forecast MAPE'!$A$2:$A$13</c:f>
              <c:strCache>
                <c:ptCount val="12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A1</c:v>
                </c:pt>
                <c:pt idx="5">
                  <c:v>A2</c:v>
                </c:pt>
                <c:pt idx="6">
                  <c:v>A3</c:v>
                </c:pt>
                <c:pt idx="7">
                  <c:v>A4</c:v>
                </c:pt>
                <c:pt idx="8">
                  <c:v>A5</c:v>
                </c:pt>
                <c:pt idx="9">
                  <c:v>A6</c:v>
                </c:pt>
                <c:pt idx="10">
                  <c:v>A7</c:v>
                </c:pt>
                <c:pt idx="11">
                  <c:v>A8</c:v>
                </c:pt>
              </c:strCache>
            </c:strRef>
          </c:cat>
          <c:val>
            <c:numRef>
              <c:f>'Forecast MAPE'!$C$2:$C$13</c:f>
              <c:numCache>
                <c:formatCode>0.0%</c:formatCode>
                <c:ptCount val="12"/>
                <c:pt idx="0">
                  <c:v>0.182</c:v>
                </c:pt>
                <c:pt idx="1">
                  <c:v>0.171</c:v>
                </c:pt>
                <c:pt idx="2">
                  <c:v>0.19</c:v>
                </c:pt>
                <c:pt idx="3">
                  <c:v>0.168</c:v>
                </c:pt>
                <c:pt idx="4">
                  <c:v>0.149</c:v>
                </c:pt>
                <c:pt idx="5">
                  <c:v>0.132</c:v>
                </c:pt>
                <c:pt idx="6">
                  <c:v>0.117</c:v>
                </c:pt>
                <c:pt idx="7">
                  <c:v>0.104</c:v>
                </c:pt>
                <c:pt idx="8">
                  <c:v>0.092</c:v>
                </c:pt>
                <c:pt idx="9">
                  <c:v>0.085</c:v>
                </c:pt>
                <c:pt idx="10">
                  <c:v>0.078</c:v>
                </c:pt>
                <c:pt idx="11">
                  <c:v>0.072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901973"/>
        <c:axId val="47871319"/>
      </c:lineChart>
      <c:catAx>
        <c:axId val="529019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71319"/>
        <c:crosses val="autoZero"/>
        <c:auto val="1"/>
        <c:lblAlgn val="ctr"/>
        <c:lblOffset val="100"/>
        <c:noMultiLvlLbl val="0"/>
      </c:catAx>
      <c:valAx>
        <c:axId val="47871319"/>
        <c:scaling>
          <c:orientation val="minMax"/>
          <c:max val="0.2"/>
          <c:min val="0.0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019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Waste Cost Bridge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'Waste Cost'!C1</c:f>
              <c:strCache>
                <c:ptCount val="1"/>
                <c:pt idx="0">
                  <c:v>Chart 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'Waste Cost'!$A$2:$A$7</c:f>
              <c:strCache>
                <c:ptCount val="6"/>
                <c:pt idx="0">
                  <c:v>Baseline Waste Cost</c:v>
                </c:pt>
                <c:pt idx="1">
                  <c:v>Overproduction</c:v>
                </c:pt>
                <c:pt idx="2">
                  <c:v>Spoilage</c:v>
                </c:pt>
                <c:pt idx="3">
                  <c:v>Buffet Excess</c:v>
                </c:pt>
                <c:pt idx="4">
                  <c:v>Other Efficiency</c:v>
                </c:pt>
                <c:pt idx="5">
                  <c:v>Optimized Waste Cost</c:v>
                </c:pt>
              </c:strCache>
            </c:strRef>
          </c:cat>
          <c:val>
            <c:numRef>
              <c:f>'Waste Cost'!$C$2:$C$7</c:f>
              <c:numCache>
                <c:formatCode>\$#,##0</c:formatCode>
                <c:ptCount val="6"/>
                <c:pt idx="0">
                  <c:v>0</c:v>
                </c:pt>
                <c:pt idx="1">
                  <c:v>298000</c:v>
                </c:pt>
                <c:pt idx="2">
                  <c:v>269000</c:v>
                </c:pt>
                <c:pt idx="3">
                  <c:v>243000</c:v>
                </c:pt>
                <c:pt idx="4">
                  <c:v>239000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'Waste Cost'!D1</c:f>
              <c:strCache>
                <c:ptCount val="1"/>
                <c:pt idx="0">
                  <c:v>Chart Bar</c:v>
                </c:pt>
              </c:strCache>
            </c:strRef>
          </c:tx>
          <c:spPr>
            <a:solidFill>
              <a:srgbClr val="8ea487"/>
            </a:solidFill>
            <a:ln w="0">
              <a:solidFill>
                <a:srgbClr val="8ea48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'Waste Cost'!$A$2:$A$7</c:f>
              <c:strCache>
                <c:ptCount val="6"/>
                <c:pt idx="0">
                  <c:v>Baseline Waste Cost</c:v>
                </c:pt>
                <c:pt idx="1">
                  <c:v>Overproduction</c:v>
                </c:pt>
                <c:pt idx="2">
                  <c:v>Spoilage</c:v>
                </c:pt>
                <c:pt idx="3">
                  <c:v>Buffet Excess</c:v>
                </c:pt>
                <c:pt idx="4">
                  <c:v>Other Efficiency</c:v>
                </c:pt>
                <c:pt idx="5">
                  <c:v>Optimized Waste Cost</c:v>
                </c:pt>
              </c:strCache>
            </c:strRef>
          </c:cat>
          <c:val>
            <c:numRef>
              <c:f>'Waste Cost'!$D$2:$D$7</c:f>
              <c:numCache>
                <c:formatCode>\$#,##0</c:formatCode>
                <c:ptCount val="6"/>
                <c:pt idx="0">
                  <c:v>384000</c:v>
                </c:pt>
                <c:pt idx="1">
                  <c:v>86000</c:v>
                </c:pt>
                <c:pt idx="2">
                  <c:v>29000</c:v>
                </c:pt>
                <c:pt idx="3">
                  <c:v>26000</c:v>
                </c:pt>
                <c:pt idx="4">
                  <c:v>4000</c:v>
                </c:pt>
                <c:pt idx="5">
                  <c:v>239000</c:v>
                </c:pt>
              </c:numCache>
            </c:numRef>
          </c:val>
        </c:ser>
        <c:gapWidth val="150"/>
        <c:overlap val="100"/>
        <c:axId val="39806003"/>
        <c:axId val="12976027"/>
      </c:barChart>
      <c:catAx>
        <c:axId val="398060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76027"/>
        <c:crosses val="autoZero"/>
        <c:auto val="1"/>
        <c:lblAlgn val="ctr"/>
        <c:lblOffset val="100"/>
        <c:noMultiLvlLbl val="0"/>
      </c:catAx>
      <c:valAx>
        <c:axId val="129760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806003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Waste per Cover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'Guest Experience'!C1</c:f>
              <c:strCache>
                <c:ptCount val="1"/>
                <c:pt idx="0">
                  <c:v>Waste / Cover (kg)</c:v>
                </c:pt>
              </c:strCache>
            </c:strRef>
          </c:tx>
          <c:spPr>
            <a:solidFill>
              <a:srgbClr val="214e34"/>
            </a:solidFill>
            <a:ln w="28440">
              <a:solidFill>
                <a:srgbClr val="214e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'Guest Experience'!$A$2:$A$13</c:f>
              <c:strCache>
                <c:ptCount val="12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A1</c:v>
                </c:pt>
                <c:pt idx="5">
                  <c:v>A2</c:v>
                </c:pt>
                <c:pt idx="6">
                  <c:v>A3</c:v>
                </c:pt>
                <c:pt idx="7">
                  <c:v>A4</c:v>
                </c:pt>
                <c:pt idx="8">
                  <c:v>A5</c:v>
                </c:pt>
                <c:pt idx="9">
                  <c:v>A6</c:v>
                </c:pt>
                <c:pt idx="10">
                  <c:v>A7</c:v>
                </c:pt>
                <c:pt idx="11">
                  <c:v>A8</c:v>
                </c:pt>
              </c:strCache>
            </c:strRef>
          </c:cat>
          <c:val>
            <c:numRef>
              <c:f>'Guest Experience'!$C$2:$C$13</c:f>
              <c:numCache>
                <c:formatCode>0.000</c:formatCode>
                <c:ptCount val="12"/>
                <c:pt idx="0">
                  <c:v>0.164</c:v>
                </c:pt>
                <c:pt idx="1">
                  <c:v>0.168</c:v>
                </c:pt>
                <c:pt idx="2">
                  <c:v>0.158</c:v>
                </c:pt>
                <c:pt idx="3">
                  <c:v>0.165</c:v>
                </c:pt>
                <c:pt idx="4">
                  <c:v>0.148</c:v>
                </c:pt>
                <c:pt idx="5">
                  <c:v>0.137</c:v>
                </c:pt>
                <c:pt idx="6">
                  <c:v>0.127</c:v>
                </c:pt>
                <c:pt idx="7">
                  <c:v>0.117</c:v>
                </c:pt>
                <c:pt idx="8">
                  <c:v>0.11</c:v>
                </c:pt>
                <c:pt idx="9">
                  <c:v>0.104</c:v>
                </c:pt>
                <c:pt idx="10">
                  <c:v>0.099</c:v>
                </c:pt>
                <c:pt idx="11">
                  <c:v>0.094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934553"/>
        <c:axId val="23858035"/>
      </c:lineChart>
      <c:catAx>
        <c:axId val="209345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58035"/>
        <c:crosses val="autoZero"/>
        <c:auto val="1"/>
        <c:lblAlgn val="ctr"/>
        <c:lblOffset val="100"/>
        <c:noMultiLvlLbl val="0"/>
      </c:catAx>
      <c:valAx>
        <c:axId val="23858035"/>
        <c:scaling>
          <c:orientation val="minMax"/>
          <c:max val="0.18"/>
          <c:min val="0.0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9345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Guest F&amp;B Score (out of 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'Guest Experience'!D1</c:f>
              <c:strCache>
                <c:ptCount val="1"/>
                <c:pt idx="0">
                  <c:v>Guest F&amp;B Score</c:v>
                </c:pt>
              </c:strCache>
            </c:strRef>
          </c:tx>
          <c:spPr>
            <a:solidFill>
              <a:srgbClr val="9c7a45"/>
            </a:solidFill>
            <a:ln w="28440">
              <a:solidFill>
                <a:srgbClr val="9c7a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'Guest Experience'!$A$2:$A$13</c:f>
              <c:strCache>
                <c:ptCount val="12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A1</c:v>
                </c:pt>
                <c:pt idx="5">
                  <c:v>A2</c:v>
                </c:pt>
                <c:pt idx="6">
                  <c:v>A3</c:v>
                </c:pt>
                <c:pt idx="7">
                  <c:v>A4</c:v>
                </c:pt>
                <c:pt idx="8">
                  <c:v>A5</c:v>
                </c:pt>
                <c:pt idx="9">
                  <c:v>A6</c:v>
                </c:pt>
                <c:pt idx="10">
                  <c:v>A7</c:v>
                </c:pt>
                <c:pt idx="11">
                  <c:v>A8</c:v>
                </c:pt>
              </c:strCache>
            </c:strRef>
          </c:cat>
          <c:val>
            <c:numRef>
              <c:f>'Guest Experience'!$D$2:$D$13</c:f>
              <c:numCache>
                <c:formatCode>0.00</c:formatCode>
                <c:ptCount val="12"/>
                <c:pt idx="0">
                  <c:v>4.61</c:v>
                </c:pt>
                <c:pt idx="1">
                  <c:v>4.6</c:v>
                </c:pt>
                <c:pt idx="2">
                  <c:v>4.63</c:v>
                </c:pt>
                <c:pt idx="3">
                  <c:v>4.62</c:v>
                </c:pt>
                <c:pt idx="4">
                  <c:v>4.62</c:v>
                </c:pt>
                <c:pt idx="5">
                  <c:v>4.64</c:v>
                </c:pt>
                <c:pt idx="6">
                  <c:v>4.63</c:v>
                </c:pt>
                <c:pt idx="7">
                  <c:v>4.65</c:v>
                </c:pt>
                <c:pt idx="8">
                  <c:v>4.66</c:v>
                </c:pt>
                <c:pt idx="9">
                  <c:v>4.65</c:v>
                </c:pt>
                <c:pt idx="10">
                  <c:v>4.67</c:v>
                </c:pt>
                <c:pt idx="11">
                  <c:v>4.68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102497"/>
        <c:axId val="78157986"/>
      </c:lineChart>
      <c:catAx>
        <c:axId val="911024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57986"/>
        <c:crosses val="autoZero"/>
        <c:auto val="1"/>
        <c:lblAlgn val="ctr"/>
        <c:lblOffset val="100"/>
        <c:noMultiLvlLbl val="0"/>
      </c:catAx>
      <c:valAx>
        <c:axId val="78157986"/>
        <c:scaling>
          <c:orientation val="minMax"/>
          <c:max val="4.75"/>
          <c:min val="4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024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Manager Coordination Hours /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Operations!B1</c:f>
              <c:strCache>
                <c:ptCount val="1"/>
                <c:pt idx="0">
                  <c:v>Coordination Hours / Week</c:v>
                </c:pt>
              </c:strCache>
            </c:strRef>
          </c:tx>
          <c:spPr>
            <a:solidFill>
              <a:srgbClr val="214e34"/>
            </a:solidFill>
            <a:ln w="28440">
              <a:solidFill>
                <a:srgbClr val="214e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Operations!$A$2:$A$10</c:f>
              <c:strCache>
                <c:ptCount val="9"/>
                <c:pt idx="0">
                  <c:v>Baseline</c:v>
                </c:pt>
                <c:pt idx="1">
                  <c:v>A1</c:v>
                </c:pt>
                <c:pt idx="2">
                  <c:v>A2</c:v>
                </c:pt>
                <c:pt idx="3">
                  <c:v>A3</c:v>
                </c:pt>
                <c:pt idx="4">
                  <c:v>A4</c:v>
                </c:pt>
                <c:pt idx="5">
                  <c:v>A5</c:v>
                </c:pt>
                <c:pt idx="6">
                  <c:v>A6</c:v>
                </c:pt>
                <c:pt idx="7">
                  <c:v>A7</c:v>
                </c:pt>
                <c:pt idx="8">
                  <c:v>A8</c:v>
                </c:pt>
              </c:strCache>
            </c:strRef>
          </c:cat>
          <c:val>
            <c:numRef>
              <c:f>Operations!$B$2:$B$10</c:f>
              <c:numCache>
                <c:formatCode>0.0</c:formatCode>
                <c:ptCount val="9"/>
                <c:pt idx="0">
                  <c:v>18.5</c:v>
                </c:pt>
                <c:pt idx="1">
                  <c:v>17</c:v>
                </c:pt>
                <c:pt idx="2">
                  <c:v>15.5</c:v>
                </c:pt>
                <c:pt idx="3">
                  <c:v>14.2</c:v>
                </c:pt>
                <c:pt idx="4">
                  <c:v>13.1</c:v>
                </c:pt>
                <c:pt idx="5">
                  <c:v>12</c:v>
                </c:pt>
                <c:pt idx="6">
                  <c:v>11.4</c:v>
                </c:pt>
                <c:pt idx="7">
                  <c:v>10.8</c:v>
                </c:pt>
                <c:pt idx="8">
                  <c:v>10.3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754900"/>
        <c:axId val="90425734"/>
      </c:lineChart>
      <c:catAx>
        <c:axId val="197549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25734"/>
        <c:crosses val="autoZero"/>
        <c:auto val="1"/>
        <c:lblAlgn val="ctr"/>
        <c:lblOffset val="100"/>
        <c:noMultiLvlLbl val="0"/>
      </c:catAx>
      <c:valAx>
        <c:axId val="90425734"/>
        <c:scaling>
          <c:orientation val="minMax"/>
          <c:max val="20"/>
          <c:min val="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549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5</xdr:col>
      <xdr:colOff>136080</xdr:colOff>
      <xdr:row>27</xdr:row>
      <xdr:rowOff>32400</xdr:rowOff>
    </xdr:to>
    <xdr:graphicFrame>
      <xdr:nvGraphicFramePr>
        <xdr:cNvPr id="0" name="Chart 1"/>
        <xdr:cNvGraphicFramePr/>
      </xdr:nvGraphicFramePr>
      <xdr:xfrm>
        <a:off x="0" y="2666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5</xdr:col>
      <xdr:colOff>273960</xdr:colOff>
      <xdr:row>21</xdr:row>
      <xdr:rowOff>176400</xdr:rowOff>
    </xdr:to>
    <xdr:graphicFrame>
      <xdr:nvGraphicFramePr>
        <xdr:cNvPr id="1" name="Chart 1"/>
        <xdr:cNvGraphicFramePr/>
      </xdr:nvGraphicFramePr>
      <xdr:xfrm>
        <a:off x="0" y="1523880"/>
        <a:ext cx="5255640" cy="284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5</xdr:row>
      <xdr:rowOff>0</xdr:rowOff>
    </xdr:from>
    <xdr:to>
      <xdr:col>11</xdr:col>
      <xdr:colOff>98640</xdr:colOff>
      <xdr:row>16</xdr:row>
      <xdr:rowOff>100080</xdr:rowOff>
    </xdr:to>
    <xdr:graphicFrame>
      <xdr:nvGraphicFramePr>
        <xdr:cNvPr id="2" name="Chart 1"/>
        <xdr:cNvGraphicFramePr/>
      </xdr:nvGraphicFramePr>
      <xdr:xfrm>
        <a:off x="3290040" y="1143000"/>
        <a:ext cx="5975640" cy="21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0</xdr:rowOff>
    </xdr:from>
    <xdr:to>
      <xdr:col>10</xdr:col>
      <xdr:colOff>500040</xdr:colOff>
      <xdr:row>15</xdr:row>
      <xdr:rowOff>146520</xdr:rowOff>
    </xdr:to>
    <xdr:graphicFrame>
      <xdr:nvGraphicFramePr>
        <xdr:cNvPr id="3" name="Chart 1"/>
        <xdr:cNvGraphicFramePr/>
      </xdr:nvGraphicFramePr>
      <xdr:xfrm>
        <a:off x="3171960" y="1143000"/>
        <a:ext cx="5435640" cy="20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9</xdr:col>
      <xdr:colOff>181800</xdr:colOff>
      <xdr:row>11</xdr:row>
      <xdr:rowOff>161640</xdr:rowOff>
    </xdr:to>
    <xdr:graphicFrame>
      <xdr:nvGraphicFramePr>
        <xdr:cNvPr id="4" name="Chart 1"/>
        <xdr:cNvGraphicFramePr/>
      </xdr:nvGraphicFramePr>
      <xdr:xfrm>
        <a:off x="4558680" y="0"/>
        <a:ext cx="2627640" cy="24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0</xdr:row>
      <xdr:rowOff>0</xdr:rowOff>
    </xdr:from>
    <xdr:to>
      <xdr:col>13</xdr:col>
      <xdr:colOff>145440</xdr:colOff>
      <xdr:row>11</xdr:row>
      <xdr:rowOff>161640</xdr:rowOff>
    </xdr:to>
    <xdr:graphicFrame>
      <xdr:nvGraphicFramePr>
        <xdr:cNvPr id="5" name="Chart 2"/>
        <xdr:cNvGraphicFramePr/>
      </xdr:nvGraphicFramePr>
      <xdr:xfrm>
        <a:off x="7004520" y="0"/>
        <a:ext cx="2591640" cy="24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7</xdr:col>
      <xdr:colOff>397440</xdr:colOff>
      <xdr:row>13</xdr:row>
      <xdr:rowOff>32760</xdr:rowOff>
    </xdr:to>
    <xdr:graphicFrame>
      <xdr:nvGraphicFramePr>
        <xdr:cNvPr id="6" name="Chart 1"/>
        <xdr:cNvGraphicFramePr/>
      </xdr:nvGraphicFramePr>
      <xdr:xfrm>
        <a:off x="3148920" y="0"/>
        <a:ext cx="2843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5" style="0" width="28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n">
        <v>486</v>
      </c>
      <c r="E2" s="3" t="s">
        <v>5</v>
      </c>
      <c r="F2" s="4" t="n">
        <f aca="false">AVERAGE(C2:C5)</f>
        <v>488.5</v>
      </c>
    </row>
    <row r="3" customFormat="false" ht="15" hidden="false" customHeight="false" outlineLevel="0" collapsed="false">
      <c r="A3" s="2" t="s">
        <v>6</v>
      </c>
      <c r="B3" s="2" t="s">
        <v>4</v>
      </c>
      <c r="C3" s="2" t="n">
        <v>501</v>
      </c>
      <c r="E3" s="3" t="s">
        <v>7</v>
      </c>
      <c r="F3" s="4" t="n">
        <f aca="false">AVERAGE(C10:C13)</f>
        <v>304</v>
      </c>
    </row>
    <row r="4" customFormat="false" ht="15" hidden="false" customHeight="false" outlineLevel="0" collapsed="false">
      <c r="A4" s="2" t="s">
        <v>8</v>
      </c>
      <c r="B4" s="2" t="s">
        <v>4</v>
      </c>
      <c r="C4" s="2" t="n">
        <v>472</v>
      </c>
      <c r="E4" s="3" t="s">
        <v>9</v>
      </c>
      <c r="F4" s="5" t="n">
        <f aca="false">F3/F2-1</f>
        <v>-0.377686796315251</v>
      </c>
    </row>
    <row r="5" customFormat="false" ht="15" hidden="false" customHeight="false" outlineLevel="0" collapsed="false">
      <c r="A5" s="2" t="s">
        <v>10</v>
      </c>
      <c r="B5" s="2" t="s">
        <v>4</v>
      </c>
      <c r="C5" s="2" t="n">
        <v>495</v>
      </c>
    </row>
    <row r="6" customFormat="false" ht="15" hidden="false" customHeight="false" outlineLevel="0" collapsed="false">
      <c r="A6" s="2" t="s">
        <v>11</v>
      </c>
      <c r="B6" s="2" t="s">
        <v>12</v>
      </c>
      <c r="C6" s="2" t="n">
        <v>443</v>
      </c>
    </row>
    <row r="7" customFormat="false" ht="15" hidden="false" customHeight="false" outlineLevel="0" collapsed="false">
      <c r="A7" s="2" t="s">
        <v>13</v>
      </c>
      <c r="B7" s="2" t="s">
        <v>12</v>
      </c>
      <c r="C7" s="2" t="n">
        <v>409</v>
      </c>
    </row>
    <row r="8" customFormat="false" ht="15" hidden="false" customHeight="false" outlineLevel="0" collapsed="false">
      <c r="A8" s="2" t="s">
        <v>14</v>
      </c>
      <c r="B8" s="2" t="s">
        <v>12</v>
      </c>
      <c r="C8" s="2" t="n">
        <v>381</v>
      </c>
    </row>
    <row r="9" customFormat="false" ht="15" hidden="false" customHeight="false" outlineLevel="0" collapsed="false">
      <c r="A9" s="2" t="s">
        <v>15</v>
      </c>
      <c r="B9" s="2" t="s">
        <v>12</v>
      </c>
      <c r="C9" s="2" t="n">
        <v>352</v>
      </c>
    </row>
    <row r="10" customFormat="false" ht="15" hidden="false" customHeight="false" outlineLevel="0" collapsed="false">
      <c r="A10" s="2" t="s">
        <v>16</v>
      </c>
      <c r="B10" s="2" t="s">
        <v>12</v>
      </c>
      <c r="C10" s="2" t="n">
        <v>329</v>
      </c>
    </row>
    <row r="11" customFormat="false" ht="15" hidden="false" customHeight="false" outlineLevel="0" collapsed="false">
      <c r="A11" s="2" t="s">
        <v>17</v>
      </c>
      <c r="B11" s="2" t="s">
        <v>12</v>
      </c>
      <c r="C11" s="2" t="n">
        <v>310</v>
      </c>
    </row>
    <row r="12" customFormat="false" ht="15" hidden="false" customHeight="false" outlineLevel="0" collapsed="false">
      <c r="A12" s="2" t="s">
        <v>18</v>
      </c>
      <c r="B12" s="2" t="s">
        <v>12</v>
      </c>
      <c r="C12" s="2" t="n">
        <v>296</v>
      </c>
    </row>
    <row r="13" customFormat="false" ht="15" hidden="false" customHeight="false" outlineLevel="0" collapsed="false">
      <c r="A13" s="2" t="s">
        <v>19</v>
      </c>
      <c r="B13" s="2" t="s">
        <v>12</v>
      </c>
      <c r="C13" s="2" t="n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0"/>
  </cols>
  <sheetData>
    <row r="1" customFormat="false" ht="30" hidden="false" customHeight="true" outlineLevel="0" collapsed="false">
      <c r="A1" s="1" t="s">
        <v>20</v>
      </c>
      <c r="B1" s="1" t="s">
        <v>21</v>
      </c>
      <c r="C1" s="1" t="s">
        <v>22</v>
      </c>
      <c r="D1" s="1" t="s">
        <v>9</v>
      </c>
    </row>
    <row r="2" customFormat="false" ht="15" hidden="false" customHeight="false" outlineLevel="0" collapsed="false">
      <c r="A2" s="2" t="s">
        <v>23</v>
      </c>
      <c r="B2" s="2" t="n">
        <v>215</v>
      </c>
      <c r="C2" s="2" t="n">
        <v>103</v>
      </c>
      <c r="D2" s="6" t="n">
        <f aca="false">C2/B2-1</f>
        <v>-0.52093023255814</v>
      </c>
      <c r="F2" s="7" t="s">
        <v>24</v>
      </c>
    </row>
    <row r="3" customFormat="false" ht="15" hidden="false" customHeight="false" outlineLevel="0" collapsed="false">
      <c r="A3" s="2" t="s">
        <v>25</v>
      </c>
      <c r="B3" s="2" t="n">
        <v>108</v>
      </c>
      <c r="C3" s="2" t="n">
        <v>76</v>
      </c>
      <c r="D3" s="6" t="n">
        <f aca="false">C3/B3-1</f>
        <v>-0.296296296296296</v>
      </c>
    </row>
    <row r="4" customFormat="false" ht="15" hidden="false" customHeight="false" outlineLevel="0" collapsed="false">
      <c r="A4" s="2" t="s">
        <v>26</v>
      </c>
      <c r="B4" s="2" t="n">
        <v>92</v>
      </c>
      <c r="C4" s="2" t="n">
        <v>56</v>
      </c>
      <c r="D4" s="6" t="n">
        <f aca="false">C4/B4-1</f>
        <v>-0.391304347826087</v>
      </c>
    </row>
    <row r="5" customFormat="false" ht="15" hidden="false" customHeight="false" outlineLevel="0" collapsed="false">
      <c r="A5" s="2" t="s">
        <v>27</v>
      </c>
      <c r="B5" s="2" t="n">
        <v>44</v>
      </c>
      <c r="C5" s="2" t="n">
        <v>39</v>
      </c>
      <c r="D5" s="6" t="n">
        <f aca="false">C5/B5-1</f>
        <v>-0.113636363636364</v>
      </c>
    </row>
    <row r="6" customFormat="false" ht="15" hidden="false" customHeight="false" outlineLevel="0" collapsed="false">
      <c r="A6" s="2" t="s">
        <v>28</v>
      </c>
      <c r="B6" s="2" t="n">
        <v>30</v>
      </c>
      <c r="C6" s="2" t="n">
        <v>30</v>
      </c>
      <c r="D6" s="6" t="n">
        <f aca="false">C6/B6-1</f>
        <v>0</v>
      </c>
    </row>
    <row r="7" customFormat="false" ht="15" hidden="false" customHeight="false" outlineLevel="0" collapsed="false">
      <c r="A7" s="8" t="s">
        <v>29</v>
      </c>
      <c r="B7" s="8" t="n">
        <f aca="false">SUM(B2:B6)</f>
        <v>489</v>
      </c>
      <c r="C7" s="8" t="n">
        <f aca="false">SUM(C2:C6)</f>
        <v>304</v>
      </c>
      <c r="D7" s="9" t="n">
        <f aca="false">C7/B7-1</f>
        <v>-0.378323108384458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5" style="0" width="28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30</v>
      </c>
    </row>
    <row r="2" customFormat="false" ht="15" hidden="false" customHeight="false" outlineLevel="0" collapsed="false">
      <c r="A2" s="2" t="s">
        <v>3</v>
      </c>
      <c r="B2" s="2" t="s">
        <v>4</v>
      </c>
      <c r="C2" s="10" t="n">
        <v>0.182</v>
      </c>
      <c r="E2" s="3" t="s">
        <v>5</v>
      </c>
      <c r="F2" s="5" t="n">
        <f aca="false">AVERAGE(C2:C5)</f>
        <v>0.17775</v>
      </c>
    </row>
    <row r="3" customFormat="false" ht="15" hidden="false" customHeight="false" outlineLevel="0" collapsed="false">
      <c r="A3" s="2" t="s">
        <v>6</v>
      </c>
      <c r="B3" s="2" t="s">
        <v>4</v>
      </c>
      <c r="C3" s="10" t="n">
        <v>0.171</v>
      </c>
      <c r="E3" s="3" t="s">
        <v>31</v>
      </c>
      <c r="F3" s="5" t="n">
        <f aca="false">C13</f>
        <v>0.072</v>
      </c>
    </row>
    <row r="4" customFormat="false" ht="15" hidden="false" customHeight="false" outlineLevel="0" collapsed="false">
      <c r="A4" s="2" t="s">
        <v>8</v>
      </c>
      <c r="B4" s="2" t="s">
        <v>4</v>
      </c>
      <c r="C4" s="10" t="n">
        <v>0.19</v>
      </c>
      <c r="E4" s="3" t="s">
        <v>9</v>
      </c>
      <c r="F4" s="11" t="n">
        <f aca="false">F3/F2-1</f>
        <v>-0.59493670886076</v>
      </c>
    </row>
    <row r="5" customFormat="false" ht="15" hidden="false" customHeight="false" outlineLevel="0" collapsed="false">
      <c r="A5" s="2" t="s">
        <v>10</v>
      </c>
      <c r="B5" s="2" t="s">
        <v>4</v>
      </c>
      <c r="C5" s="10" t="n">
        <v>0.168</v>
      </c>
      <c r="E5" s="7" t="s">
        <v>32</v>
      </c>
    </row>
    <row r="6" customFormat="false" ht="15" hidden="false" customHeight="false" outlineLevel="0" collapsed="false">
      <c r="A6" s="2" t="s">
        <v>11</v>
      </c>
      <c r="B6" s="2" t="s">
        <v>12</v>
      </c>
      <c r="C6" s="10" t="n">
        <v>0.149</v>
      </c>
    </row>
    <row r="7" customFormat="false" ht="15" hidden="false" customHeight="false" outlineLevel="0" collapsed="false">
      <c r="A7" s="2" t="s">
        <v>13</v>
      </c>
      <c r="B7" s="2" t="s">
        <v>12</v>
      </c>
      <c r="C7" s="10" t="n">
        <v>0.132</v>
      </c>
    </row>
    <row r="8" customFormat="false" ht="15" hidden="false" customHeight="false" outlineLevel="0" collapsed="false">
      <c r="A8" s="2" t="s">
        <v>14</v>
      </c>
      <c r="B8" s="2" t="s">
        <v>12</v>
      </c>
      <c r="C8" s="10" t="n">
        <v>0.117</v>
      </c>
    </row>
    <row r="9" customFormat="false" ht="15" hidden="false" customHeight="false" outlineLevel="0" collapsed="false">
      <c r="A9" s="2" t="s">
        <v>15</v>
      </c>
      <c r="B9" s="2" t="s">
        <v>12</v>
      </c>
      <c r="C9" s="10" t="n">
        <v>0.104</v>
      </c>
    </row>
    <row r="10" customFormat="false" ht="15" hidden="false" customHeight="false" outlineLevel="0" collapsed="false">
      <c r="A10" s="2" t="s">
        <v>16</v>
      </c>
      <c r="B10" s="2" t="s">
        <v>12</v>
      </c>
      <c r="C10" s="10" t="n">
        <v>0.092</v>
      </c>
    </row>
    <row r="11" customFormat="false" ht="15" hidden="false" customHeight="false" outlineLevel="0" collapsed="false">
      <c r="A11" s="2" t="s">
        <v>17</v>
      </c>
      <c r="B11" s="2" t="s">
        <v>12</v>
      </c>
      <c r="C11" s="10" t="n">
        <v>0.085</v>
      </c>
    </row>
    <row r="12" customFormat="false" ht="15" hidden="false" customHeight="false" outlineLevel="0" collapsed="false">
      <c r="A12" s="2" t="s">
        <v>18</v>
      </c>
      <c r="B12" s="2" t="s">
        <v>12</v>
      </c>
      <c r="C12" s="10" t="n">
        <v>0.078</v>
      </c>
    </row>
    <row r="13" customFormat="false" ht="15" hidden="false" customHeight="false" outlineLevel="0" collapsed="false">
      <c r="A13" s="2" t="s">
        <v>19</v>
      </c>
      <c r="B13" s="2" t="s">
        <v>12</v>
      </c>
      <c r="C13" s="10" t="n">
        <v>0.072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true" outlineLevel="0" max="4" min="3" style="0" width="12"/>
    <col collapsed="false" customWidth="true" hidden="false" outlineLevel="0" max="5" min="5" style="0" width="3"/>
    <col collapsed="false" customWidth="true" hidden="false" outlineLevel="0" max="6" min="6" style="0" width="30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33</v>
      </c>
      <c r="B1" s="1" t="s">
        <v>34</v>
      </c>
      <c r="C1" s="1" t="s">
        <v>35</v>
      </c>
      <c r="D1" s="1" t="s">
        <v>36</v>
      </c>
      <c r="F1" s="12" t="s">
        <v>37</v>
      </c>
      <c r="G1" s="12"/>
    </row>
    <row r="2" customFormat="false" ht="15" hidden="false" customHeight="false" outlineLevel="0" collapsed="false">
      <c r="A2" s="2" t="s">
        <v>38</v>
      </c>
      <c r="B2" s="13" t="n">
        <f aca="false">G3</f>
        <v>384000</v>
      </c>
      <c r="C2" s="14" t="n">
        <v>0</v>
      </c>
      <c r="D2" s="14" t="n">
        <f aca="false">B2</f>
        <v>384000</v>
      </c>
      <c r="F2" s="2" t="s">
        <v>39</v>
      </c>
      <c r="G2" s="15" t="n">
        <v>3200000</v>
      </c>
    </row>
    <row r="3" customFormat="false" ht="15" hidden="false" customHeight="false" outlineLevel="0" collapsed="false">
      <c r="A3" s="2" t="s">
        <v>23</v>
      </c>
      <c r="B3" s="16" t="n">
        <v>-86000</v>
      </c>
      <c r="C3" s="14" t="n">
        <f aca="false">C2+D2+B3</f>
        <v>298000</v>
      </c>
      <c r="D3" s="14" t="n">
        <f aca="false">-B3</f>
        <v>86000</v>
      </c>
      <c r="F3" s="2" t="s">
        <v>40</v>
      </c>
      <c r="G3" s="15" t="n">
        <v>384000</v>
      </c>
    </row>
    <row r="4" customFormat="false" ht="15" hidden="false" customHeight="false" outlineLevel="0" collapsed="false">
      <c r="A4" s="2" t="s">
        <v>26</v>
      </c>
      <c r="B4" s="16" t="n">
        <v>-29000</v>
      </c>
      <c r="C4" s="14" t="n">
        <f aca="false">C3+B4</f>
        <v>269000</v>
      </c>
      <c r="D4" s="14" t="n">
        <f aca="false">-B4</f>
        <v>29000</v>
      </c>
      <c r="F4" s="17" t="s">
        <v>41</v>
      </c>
      <c r="G4" s="18" t="n">
        <f aca="false">G3/G2</f>
        <v>0.12</v>
      </c>
    </row>
    <row r="5" customFormat="false" ht="15" hidden="false" customHeight="false" outlineLevel="0" collapsed="false">
      <c r="A5" s="2" t="s">
        <v>25</v>
      </c>
      <c r="B5" s="16" t="n">
        <v>-26000</v>
      </c>
      <c r="C5" s="14" t="n">
        <f aca="false">C4+B5</f>
        <v>243000</v>
      </c>
      <c r="D5" s="14" t="n">
        <f aca="false">-B5</f>
        <v>26000</v>
      </c>
    </row>
    <row r="6" customFormat="false" ht="15" hidden="false" customHeight="false" outlineLevel="0" collapsed="false">
      <c r="A6" s="2" t="s">
        <v>42</v>
      </c>
      <c r="B6" s="16" t="n">
        <v>-4000</v>
      </c>
      <c r="C6" s="14" t="n">
        <f aca="false">C5+B6</f>
        <v>239000</v>
      </c>
      <c r="D6" s="14" t="n">
        <f aca="false">-B6</f>
        <v>4000</v>
      </c>
    </row>
    <row r="7" customFormat="false" ht="15" hidden="false" customHeight="false" outlineLevel="0" collapsed="false">
      <c r="A7" s="8" t="s">
        <v>43</v>
      </c>
      <c r="B7" s="19" t="n">
        <f aca="false">SUM(B2:B6)</f>
        <v>239000</v>
      </c>
      <c r="C7" s="14" t="n">
        <v>0</v>
      </c>
      <c r="D7" s="14" t="n">
        <f aca="false">B7</f>
        <v>239000</v>
      </c>
    </row>
    <row r="9" customFormat="false" ht="15" hidden="false" customHeight="false" outlineLevel="0" collapsed="false">
      <c r="A9" s="3" t="s">
        <v>44</v>
      </c>
      <c r="B9" s="20" t="n">
        <f aca="false">B2-B7</f>
        <v>145000</v>
      </c>
    </row>
    <row r="10" customFormat="false" ht="15" hidden="false" customHeight="false" outlineLevel="0" collapsed="false">
      <c r="A10" s="3" t="s">
        <v>45</v>
      </c>
      <c r="B10" s="5" t="n">
        <f aca="false">B9/B2</f>
        <v>0.377604166666667</v>
      </c>
    </row>
    <row r="11" customFormat="false" ht="15" hidden="false" customHeight="false" outlineLevel="0" collapsed="false">
      <c r="A11" s="7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47</v>
      </c>
      <c r="D1" s="1" t="s">
        <v>48</v>
      </c>
    </row>
    <row r="2" customFormat="false" ht="15" hidden="false" customHeight="false" outlineLevel="0" collapsed="false">
      <c r="A2" s="2" t="s">
        <v>3</v>
      </c>
      <c r="B2" s="2" t="s">
        <v>4</v>
      </c>
      <c r="C2" s="21" t="n">
        <v>0.164</v>
      </c>
      <c r="D2" s="22" t="n">
        <v>4.61</v>
      </c>
    </row>
    <row r="3" customFormat="false" ht="15" hidden="false" customHeight="false" outlineLevel="0" collapsed="false">
      <c r="A3" s="2" t="s">
        <v>6</v>
      </c>
      <c r="B3" s="2" t="s">
        <v>4</v>
      </c>
      <c r="C3" s="21" t="n">
        <v>0.168</v>
      </c>
      <c r="D3" s="22" t="n">
        <v>4.6</v>
      </c>
    </row>
    <row r="4" customFormat="false" ht="15" hidden="false" customHeight="false" outlineLevel="0" collapsed="false">
      <c r="A4" s="2" t="s">
        <v>8</v>
      </c>
      <c r="B4" s="2" t="s">
        <v>4</v>
      </c>
      <c r="C4" s="21" t="n">
        <v>0.158</v>
      </c>
      <c r="D4" s="22" t="n">
        <v>4.63</v>
      </c>
    </row>
    <row r="5" customFormat="false" ht="15" hidden="false" customHeight="false" outlineLevel="0" collapsed="false">
      <c r="A5" s="2" t="s">
        <v>10</v>
      </c>
      <c r="B5" s="2" t="s">
        <v>4</v>
      </c>
      <c r="C5" s="21" t="n">
        <v>0.165</v>
      </c>
      <c r="D5" s="22" t="n">
        <v>4.62</v>
      </c>
    </row>
    <row r="6" customFormat="false" ht="15" hidden="false" customHeight="false" outlineLevel="0" collapsed="false">
      <c r="A6" s="2" t="s">
        <v>11</v>
      </c>
      <c r="B6" s="2" t="s">
        <v>12</v>
      </c>
      <c r="C6" s="21" t="n">
        <v>0.148</v>
      </c>
      <c r="D6" s="22" t="n">
        <v>4.62</v>
      </c>
    </row>
    <row r="7" customFormat="false" ht="15" hidden="false" customHeight="false" outlineLevel="0" collapsed="false">
      <c r="A7" s="2" t="s">
        <v>13</v>
      </c>
      <c r="B7" s="2" t="s">
        <v>12</v>
      </c>
      <c r="C7" s="21" t="n">
        <v>0.137</v>
      </c>
      <c r="D7" s="22" t="n">
        <v>4.64</v>
      </c>
    </row>
    <row r="8" customFormat="false" ht="15" hidden="false" customHeight="false" outlineLevel="0" collapsed="false">
      <c r="A8" s="2" t="s">
        <v>14</v>
      </c>
      <c r="B8" s="2" t="s">
        <v>12</v>
      </c>
      <c r="C8" s="21" t="n">
        <v>0.127</v>
      </c>
      <c r="D8" s="22" t="n">
        <v>4.63</v>
      </c>
    </row>
    <row r="9" customFormat="false" ht="15" hidden="false" customHeight="false" outlineLevel="0" collapsed="false">
      <c r="A9" s="2" t="s">
        <v>15</v>
      </c>
      <c r="B9" s="2" t="s">
        <v>12</v>
      </c>
      <c r="C9" s="21" t="n">
        <v>0.117</v>
      </c>
      <c r="D9" s="22" t="n">
        <v>4.65</v>
      </c>
    </row>
    <row r="10" customFormat="false" ht="15" hidden="false" customHeight="false" outlineLevel="0" collapsed="false">
      <c r="A10" s="2" t="s">
        <v>16</v>
      </c>
      <c r="B10" s="2" t="s">
        <v>12</v>
      </c>
      <c r="C10" s="21" t="n">
        <v>0.11</v>
      </c>
      <c r="D10" s="22" t="n">
        <v>4.66</v>
      </c>
    </row>
    <row r="11" customFormat="false" ht="15" hidden="false" customHeight="false" outlineLevel="0" collapsed="false">
      <c r="A11" s="2" t="s">
        <v>17</v>
      </c>
      <c r="B11" s="2" t="s">
        <v>12</v>
      </c>
      <c r="C11" s="21" t="n">
        <v>0.104</v>
      </c>
      <c r="D11" s="22" t="n">
        <v>4.65</v>
      </c>
    </row>
    <row r="12" customFormat="false" ht="15" hidden="false" customHeight="false" outlineLevel="0" collapsed="false">
      <c r="A12" s="2" t="s">
        <v>18</v>
      </c>
      <c r="B12" s="2" t="s">
        <v>12</v>
      </c>
      <c r="C12" s="21" t="n">
        <v>0.099</v>
      </c>
      <c r="D12" s="22" t="n">
        <v>4.67</v>
      </c>
    </row>
    <row r="13" customFormat="false" ht="15" hidden="false" customHeight="false" outlineLevel="0" collapsed="false">
      <c r="A13" s="2" t="s">
        <v>19</v>
      </c>
      <c r="B13" s="2" t="s">
        <v>12</v>
      </c>
      <c r="C13" s="21" t="n">
        <v>0.094</v>
      </c>
      <c r="D13" s="22" t="n">
        <v>4.68</v>
      </c>
    </row>
    <row r="15" customFormat="false" ht="15" hidden="false" customHeight="false" outlineLevel="0" collapsed="false">
      <c r="A15" s="3" t="s">
        <v>49</v>
      </c>
      <c r="B15" s="23"/>
      <c r="C15" s="23"/>
      <c r="D15" s="24" t="n">
        <f aca="false">AVERAGE(C2:C5)</f>
        <v>0.16375</v>
      </c>
    </row>
    <row r="16" customFormat="false" ht="15" hidden="false" customHeight="false" outlineLevel="0" collapsed="false">
      <c r="A16" s="3" t="s">
        <v>50</v>
      </c>
      <c r="B16" s="23"/>
      <c r="C16" s="23"/>
      <c r="D16" s="24" t="n">
        <f aca="false">C13</f>
        <v>0.094</v>
      </c>
    </row>
    <row r="17" customFormat="false" ht="15" hidden="false" customHeight="false" outlineLevel="0" collapsed="false">
      <c r="A17" s="3" t="s">
        <v>51</v>
      </c>
      <c r="B17" s="23"/>
      <c r="C17" s="23"/>
      <c r="D17" s="11" t="n">
        <f aca="false">D16/D15-1</f>
        <v>-0.425954198473282</v>
      </c>
    </row>
    <row r="18" customFormat="false" ht="15" hidden="false" customHeight="false" outlineLevel="0" collapsed="false">
      <c r="A18" s="3" t="s">
        <v>52</v>
      </c>
      <c r="B18" s="23"/>
      <c r="C18" s="23"/>
      <c r="D18" s="25" t="n">
        <f aca="false">D2</f>
        <v>4.61</v>
      </c>
    </row>
    <row r="19" customFormat="false" ht="15" hidden="false" customHeight="false" outlineLevel="0" collapsed="false">
      <c r="A19" s="3" t="s">
        <v>53</v>
      </c>
      <c r="B19" s="23"/>
      <c r="C19" s="23"/>
      <c r="D19" s="25" t="n">
        <f aca="false">D13</f>
        <v>4.68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</cols>
  <sheetData>
    <row r="1" customFormat="false" ht="30" hidden="false" customHeight="true" outlineLevel="0" collapsed="false">
      <c r="A1" s="1" t="s">
        <v>0</v>
      </c>
      <c r="B1" s="1" t="s">
        <v>54</v>
      </c>
    </row>
    <row r="2" customFormat="false" ht="15" hidden="false" customHeight="false" outlineLevel="0" collapsed="false">
      <c r="A2" s="2" t="s">
        <v>4</v>
      </c>
      <c r="B2" s="26" t="n">
        <v>18.5</v>
      </c>
    </row>
    <row r="3" customFormat="false" ht="15" hidden="false" customHeight="false" outlineLevel="0" collapsed="false">
      <c r="A3" s="2" t="s">
        <v>11</v>
      </c>
      <c r="B3" s="26" t="n">
        <v>17</v>
      </c>
    </row>
    <row r="4" customFormat="false" ht="15" hidden="false" customHeight="false" outlineLevel="0" collapsed="false">
      <c r="A4" s="2" t="s">
        <v>13</v>
      </c>
      <c r="B4" s="26" t="n">
        <v>15.5</v>
      </c>
    </row>
    <row r="5" customFormat="false" ht="15" hidden="false" customHeight="false" outlineLevel="0" collapsed="false">
      <c r="A5" s="2" t="s">
        <v>14</v>
      </c>
      <c r="B5" s="26" t="n">
        <v>14.2</v>
      </c>
    </row>
    <row r="6" customFormat="false" ht="15" hidden="false" customHeight="false" outlineLevel="0" collapsed="false">
      <c r="A6" s="2" t="s">
        <v>15</v>
      </c>
      <c r="B6" s="26" t="n">
        <v>13.1</v>
      </c>
    </row>
    <row r="7" customFormat="false" ht="15" hidden="false" customHeight="false" outlineLevel="0" collapsed="false">
      <c r="A7" s="2" t="s">
        <v>16</v>
      </c>
      <c r="B7" s="26" t="n">
        <v>12</v>
      </c>
    </row>
    <row r="8" customFormat="false" ht="15" hidden="false" customHeight="false" outlineLevel="0" collapsed="false">
      <c r="A8" s="2" t="s">
        <v>17</v>
      </c>
      <c r="B8" s="26" t="n">
        <v>11.4</v>
      </c>
    </row>
    <row r="9" customFormat="false" ht="15" hidden="false" customHeight="false" outlineLevel="0" collapsed="false">
      <c r="A9" s="2" t="s">
        <v>18</v>
      </c>
      <c r="B9" s="26" t="n">
        <v>10.8</v>
      </c>
    </row>
    <row r="10" customFormat="false" ht="15" hidden="false" customHeight="false" outlineLevel="0" collapsed="false">
      <c r="A10" s="2" t="s">
        <v>19</v>
      </c>
      <c r="B10" s="26" t="n">
        <v>10.3</v>
      </c>
    </row>
    <row r="12" customFormat="false" ht="15" hidden="false" customHeight="false" outlineLevel="0" collapsed="false">
      <c r="A12" s="3" t="s">
        <v>4</v>
      </c>
      <c r="B12" s="27" t="n">
        <f aca="false">B2</f>
        <v>18.5</v>
      </c>
    </row>
    <row r="13" customFormat="false" ht="15" hidden="false" customHeight="false" outlineLevel="0" collapsed="false">
      <c r="A13" s="3" t="s">
        <v>55</v>
      </c>
      <c r="B13" s="27" t="n">
        <f aca="false">B10</f>
        <v>10.3</v>
      </c>
    </row>
    <row r="14" customFormat="false" ht="15" hidden="false" customHeight="false" outlineLevel="0" collapsed="false">
      <c r="A14" s="3" t="s">
        <v>9</v>
      </c>
      <c r="B14" s="11" t="n">
        <f aca="false">B13/B12-1</f>
        <v>-0.443243243243243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4"/>
  </cols>
  <sheetData>
    <row r="1" customFormat="false" ht="30" hidden="false" customHeight="true" outlineLevel="0" collapsed="false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</row>
    <row r="2" customFormat="false" ht="15" hidden="false" customHeight="false" outlineLevel="0" collapsed="false">
      <c r="A2" s="2" t="s">
        <v>11</v>
      </c>
      <c r="B2" s="2" t="n">
        <v>100</v>
      </c>
      <c r="C2" s="2" t="n">
        <v>61</v>
      </c>
      <c r="D2" s="2" t="n">
        <v>29</v>
      </c>
      <c r="E2" s="2" t="n">
        <v>27</v>
      </c>
      <c r="F2" s="2" t="n">
        <v>20</v>
      </c>
      <c r="G2" s="2" t="n">
        <v>27</v>
      </c>
      <c r="H2" s="2" t="n">
        <v>520</v>
      </c>
      <c r="I2" s="2" t="n">
        <v>503</v>
      </c>
      <c r="J2" s="10" t="n">
        <f aca="false">C2/B2</f>
        <v>0.61</v>
      </c>
      <c r="K2" s="10" t="n">
        <f aca="false">D2/B2</f>
        <v>0.29</v>
      </c>
      <c r="L2" s="10" t="n">
        <f aca="false">F2/E2</f>
        <v>0.740740740740741</v>
      </c>
      <c r="M2" s="10" t="n">
        <f aca="false">F2/G2</f>
        <v>0.740740740740741</v>
      </c>
      <c r="N2" s="10" t="n">
        <f aca="false">I2/H2</f>
        <v>0.967307692307692</v>
      </c>
      <c r="O2" s="26" t="n">
        <f aca="false">J2*30+L2*25+M2*20+N2*15+(1-K2)*10</f>
        <v>73.2429487179487</v>
      </c>
    </row>
    <row r="3" customFormat="false" ht="15" hidden="false" customHeight="false" outlineLevel="0" collapsed="false">
      <c r="A3" s="2" t="s">
        <v>13</v>
      </c>
      <c r="B3" s="2" t="n">
        <v>108</v>
      </c>
      <c r="C3" s="2" t="n">
        <v>72</v>
      </c>
      <c r="D3" s="2" t="n">
        <v>27</v>
      </c>
      <c r="E3" s="2" t="n">
        <v>27</v>
      </c>
      <c r="F3" s="2" t="n">
        <v>21</v>
      </c>
      <c r="G3" s="2" t="n">
        <v>27</v>
      </c>
      <c r="H3" s="2" t="n">
        <v>545</v>
      </c>
      <c r="I3" s="2" t="n">
        <v>531</v>
      </c>
      <c r="J3" s="10" t="n">
        <f aca="false">C3/B3</f>
        <v>0.666666666666667</v>
      </c>
      <c r="K3" s="10" t="n">
        <f aca="false">D3/B3</f>
        <v>0.25</v>
      </c>
      <c r="L3" s="10" t="n">
        <f aca="false">F3/E3</f>
        <v>0.777777777777778</v>
      </c>
      <c r="M3" s="10" t="n">
        <f aca="false">F3/G3</f>
        <v>0.777777777777778</v>
      </c>
      <c r="N3" s="10" t="n">
        <f aca="false">I3/H3</f>
        <v>0.974311926605505</v>
      </c>
      <c r="O3" s="26" t="n">
        <f aca="false">J3*30+L3*25+M3*20+N3*15+(1-K3)*10</f>
        <v>77.1146788990826</v>
      </c>
    </row>
    <row r="4" customFormat="false" ht="15" hidden="false" customHeight="false" outlineLevel="0" collapsed="false">
      <c r="A4" s="2" t="s">
        <v>14</v>
      </c>
      <c r="B4" s="2" t="n">
        <v>115</v>
      </c>
      <c r="C4" s="2" t="n">
        <v>83</v>
      </c>
      <c r="D4" s="2" t="n">
        <v>24</v>
      </c>
      <c r="E4" s="2" t="n">
        <v>28</v>
      </c>
      <c r="F4" s="2" t="n">
        <v>23</v>
      </c>
      <c r="G4" s="2" t="n">
        <v>28</v>
      </c>
      <c r="H4" s="2" t="n">
        <v>570</v>
      </c>
      <c r="I4" s="2" t="n">
        <v>559</v>
      </c>
      <c r="J4" s="10" t="n">
        <f aca="false">C4/B4</f>
        <v>0.721739130434783</v>
      </c>
      <c r="K4" s="10" t="n">
        <f aca="false">D4/B4</f>
        <v>0.208695652173913</v>
      </c>
      <c r="L4" s="10" t="n">
        <f aca="false">F4/E4</f>
        <v>0.821428571428571</v>
      </c>
      <c r="M4" s="10" t="n">
        <f aca="false">F4/G4</f>
        <v>0.821428571428571</v>
      </c>
      <c r="N4" s="10" t="n">
        <f aca="false">I4/H4</f>
        <v>0.980701754385965</v>
      </c>
      <c r="O4" s="26" t="n">
        <f aca="false">J4*30+L4*25+M4*20+N4*15+(1-K4)*10</f>
        <v>81.2400294213796</v>
      </c>
    </row>
    <row r="5" customFormat="false" ht="15" hidden="false" customHeight="false" outlineLevel="0" collapsed="false">
      <c r="A5" s="2" t="s">
        <v>15</v>
      </c>
      <c r="B5" s="2" t="n">
        <v>121</v>
      </c>
      <c r="C5" s="2" t="n">
        <v>92</v>
      </c>
      <c r="D5" s="2" t="n">
        <v>22</v>
      </c>
      <c r="E5" s="2" t="n">
        <v>27</v>
      </c>
      <c r="F5" s="2" t="n">
        <v>23</v>
      </c>
      <c r="G5" s="2" t="n">
        <v>27</v>
      </c>
      <c r="H5" s="2" t="n">
        <v>595</v>
      </c>
      <c r="I5" s="2" t="n">
        <v>586</v>
      </c>
      <c r="J5" s="10" t="n">
        <f aca="false">C5/B5</f>
        <v>0.760330578512397</v>
      </c>
      <c r="K5" s="10" t="n">
        <f aca="false">D5/B5</f>
        <v>0.181818181818182</v>
      </c>
      <c r="L5" s="10" t="n">
        <f aca="false">F5/E5</f>
        <v>0.851851851851852</v>
      </c>
      <c r="M5" s="10" t="n">
        <f aca="false">F5/G5</f>
        <v>0.851851851851852</v>
      </c>
      <c r="N5" s="10" t="n">
        <f aca="false">I5/H5</f>
        <v>0.984873949579832</v>
      </c>
      <c r="O5" s="26" t="n">
        <f aca="false">J5*30+L5*25+M5*20+N5*15+(1-K5)*10</f>
        <v>84.0981781142209</v>
      </c>
    </row>
    <row r="6" customFormat="false" ht="15" hidden="false" customHeight="false" outlineLevel="0" collapsed="false">
      <c r="A6" s="2" t="s">
        <v>16</v>
      </c>
      <c r="B6" s="2" t="n">
        <v>128</v>
      </c>
      <c r="C6" s="2" t="n">
        <v>102</v>
      </c>
      <c r="D6" s="2" t="n">
        <v>19</v>
      </c>
      <c r="E6" s="2" t="n">
        <v>26</v>
      </c>
      <c r="F6" s="2" t="n">
        <v>23</v>
      </c>
      <c r="G6" s="2" t="n">
        <v>27</v>
      </c>
      <c r="H6" s="2" t="n">
        <v>620</v>
      </c>
      <c r="I6" s="2" t="n">
        <v>612</v>
      </c>
      <c r="J6" s="10" t="n">
        <f aca="false">C6/B6</f>
        <v>0.796875</v>
      </c>
      <c r="K6" s="10" t="n">
        <f aca="false">D6/B6</f>
        <v>0.1484375</v>
      </c>
      <c r="L6" s="10" t="n">
        <f aca="false">F6/E6</f>
        <v>0.884615384615385</v>
      </c>
      <c r="M6" s="10" t="n">
        <f aca="false">F6/G6</f>
        <v>0.851851851851852</v>
      </c>
      <c r="N6" s="10" t="n">
        <f aca="false">I6/H6</f>
        <v>0.987096774193548</v>
      </c>
      <c r="O6" s="26" t="n">
        <f aca="false">J6*30+L6*25+M6*20+N6*15+(1-K6)*10</f>
        <v>86.3807482653249</v>
      </c>
    </row>
    <row r="7" customFormat="false" ht="15" hidden="false" customHeight="false" outlineLevel="0" collapsed="false">
      <c r="A7" s="2" t="s">
        <v>17</v>
      </c>
      <c r="B7" s="2" t="n">
        <v>132</v>
      </c>
      <c r="C7" s="2" t="n">
        <v>110</v>
      </c>
      <c r="D7" s="2" t="n">
        <v>17</v>
      </c>
      <c r="E7" s="2" t="n">
        <v>25</v>
      </c>
      <c r="F7" s="2" t="n">
        <v>23</v>
      </c>
      <c r="G7" s="2" t="n">
        <v>26</v>
      </c>
      <c r="H7" s="2" t="n">
        <v>640</v>
      </c>
      <c r="I7" s="2" t="n">
        <v>633</v>
      </c>
      <c r="J7" s="10" t="n">
        <f aca="false">C7/B7</f>
        <v>0.833333333333333</v>
      </c>
      <c r="K7" s="10" t="n">
        <f aca="false">D7/B7</f>
        <v>0.128787878787879</v>
      </c>
      <c r="L7" s="10" t="n">
        <f aca="false">F7/E7</f>
        <v>0.92</v>
      </c>
      <c r="M7" s="10" t="n">
        <f aca="false">F7/G7</f>
        <v>0.884615384615385</v>
      </c>
      <c r="N7" s="10" t="n">
        <f aca="false">I7/H7</f>
        <v>0.9890625</v>
      </c>
      <c r="O7" s="26" t="n">
        <f aca="false">J7*30+L7*25+M7*20+N7*15+(1-K7)*10</f>
        <v>89.2403664044289</v>
      </c>
    </row>
    <row r="8" customFormat="false" ht="15" hidden="false" customHeight="false" outlineLevel="0" collapsed="false">
      <c r="A8" s="2" t="s">
        <v>18</v>
      </c>
      <c r="B8" s="2" t="n">
        <v>139</v>
      </c>
      <c r="C8" s="2" t="n">
        <v>120</v>
      </c>
      <c r="D8" s="2" t="n">
        <v>15</v>
      </c>
      <c r="E8" s="2" t="n">
        <v>27</v>
      </c>
      <c r="F8" s="2" t="n">
        <v>25</v>
      </c>
      <c r="G8" s="2" t="n">
        <v>27</v>
      </c>
      <c r="H8" s="2" t="n">
        <v>665</v>
      </c>
      <c r="I8" s="2" t="n">
        <v>659</v>
      </c>
      <c r="J8" s="10" t="n">
        <f aca="false">C8/B8</f>
        <v>0.863309352517986</v>
      </c>
      <c r="K8" s="10" t="n">
        <f aca="false">D8/B8</f>
        <v>0.107913669064748</v>
      </c>
      <c r="L8" s="10" t="n">
        <f aca="false">F8/E8</f>
        <v>0.925925925925926</v>
      </c>
      <c r="M8" s="10" t="n">
        <f aca="false">F8/G8</f>
        <v>0.925925925925926</v>
      </c>
      <c r="N8" s="10" t="n">
        <f aca="false">I8/H8</f>
        <v>0.990977443609023</v>
      </c>
      <c r="O8" s="26" t="n">
        <f aca="false">J8*30+L8*25+M8*20+N8*15+(1-K8)*10</f>
        <v>91.3514722056941</v>
      </c>
    </row>
    <row r="9" customFormat="false" ht="15" hidden="false" customHeight="false" outlineLevel="0" collapsed="false">
      <c r="A9" s="2" t="s">
        <v>19</v>
      </c>
      <c r="B9" s="2" t="n">
        <v>145</v>
      </c>
      <c r="C9" s="2" t="n">
        <v>128</v>
      </c>
      <c r="D9" s="2" t="n">
        <v>13</v>
      </c>
      <c r="E9" s="2" t="n">
        <v>22</v>
      </c>
      <c r="F9" s="2" t="n">
        <v>21</v>
      </c>
      <c r="G9" s="2" t="n">
        <v>23</v>
      </c>
      <c r="H9" s="2" t="n">
        <v>690</v>
      </c>
      <c r="I9" s="2" t="n">
        <v>686</v>
      </c>
      <c r="J9" s="10" t="n">
        <f aca="false">C9/B9</f>
        <v>0.882758620689655</v>
      </c>
      <c r="K9" s="10" t="n">
        <f aca="false">D9/B9</f>
        <v>0.0896551724137931</v>
      </c>
      <c r="L9" s="10" t="n">
        <f aca="false">F9/E9</f>
        <v>0.954545454545455</v>
      </c>
      <c r="M9" s="10" t="n">
        <f aca="false">F9/G9</f>
        <v>0.91304347826087</v>
      </c>
      <c r="N9" s="10" t="n">
        <f aca="false">I9/H9</f>
        <v>0.994202898550725</v>
      </c>
      <c r="O9" s="26" t="n">
        <f aca="false">J9*30+L9*25+M9*20+N9*15+(1-K9)*10</f>
        <v>92.6237563036663</v>
      </c>
    </row>
    <row r="11" customFormat="false" ht="15" hidden="false" customHeight="false" outlineLevel="0" collapsed="false">
      <c r="A11" s="7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6"/>
    <col collapsed="false" customWidth="true" hidden="false" outlineLevel="0" max="13" min="13" style="0" width="13"/>
  </cols>
  <sheetData>
    <row r="1" customFormat="false" ht="30" hidden="false" customHeight="true" outlineLevel="0" collapsed="false">
      <c r="A1" s="1" t="s">
        <v>71</v>
      </c>
      <c r="B1" s="1" t="s">
        <v>72</v>
      </c>
      <c r="C1" s="1" t="s">
        <v>73</v>
      </c>
    </row>
    <row r="2" customFormat="false" ht="15" hidden="false" customHeight="false" outlineLevel="0" collapsed="false">
      <c r="A2" s="2" t="s">
        <v>74</v>
      </c>
      <c r="B2" s="2" t="s">
        <v>75</v>
      </c>
      <c r="C2" s="28" t="n">
        <v>0.8</v>
      </c>
      <c r="D2" s="7" t="s">
        <v>76</v>
      </c>
    </row>
    <row r="3" customFormat="false" ht="15" hidden="false" customHeight="false" outlineLevel="0" collapsed="false">
      <c r="A3" s="2" t="s">
        <v>66</v>
      </c>
      <c r="B3" s="2" t="s">
        <v>75</v>
      </c>
      <c r="C3" s="28" t="n">
        <v>0.9</v>
      </c>
    </row>
    <row r="4" customFormat="false" ht="15" hidden="false" customHeight="false" outlineLevel="0" collapsed="false">
      <c r="A4" s="2" t="s">
        <v>67</v>
      </c>
      <c r="B4" s="2" t="s">
        <v>75</v>
      </c>
      <c r="C4" s="28" t="n">
        <v>0.85</v>
      </c>
    </row>
    <row r="5" customFormat="false" ht="15" hidden="false" customHeight="false" outlineLevel="0" collapsed="false">
      <c r="A5" s="2" t="s">
        <v>68</v>
      </c>
      <c r="B5" s="2" t="s">
        <v>75</v>
      </c>
      <c r="C5" s="28" t="n">
        <v>0.99</v>
      </c>
    </row>
    <row r="6" customFormat="false" ht="15" hidden="false" customHeight="false" outlineLevel="0" collapsed="false">
      <c r="A6" s="2" t="s">
        <v>77</v>
      </c>
      <c r="B6" s="2" t="s">
        <v>78</v>
      </c>
      <c r="C6" s="28" t="n">
        <v>0.15</v>
      </c>
    </row>
    <row r="7" customFormat="false" ht="15" hidden="false" customHeight="false" outlineLevel="0" collapsed="false">
      <c r="A7" s="2" t="s">
        <v>30</v>
      </c>
      <c r="B7" s="2" t="s">
        <v>78</v>
      </c>
      <c r="C7" s="28" t="n">
        <v>0.1</v>
      </c>
    </row>
    <row r="8" customFormat="false" ht="15" hidden="false" customHeight="false" outlineLevel="0" collapsed="false">
      <c r="A8" s="2" t="s">
        <v>48</v>
      </c>
      <c r="B8" s="2" t="s">
        <v>75</v>
      </c>
      <c r="C8" s="29" t="n">
        <v>4.6</v>
      </c>
    </row>
    <row r="9" customFormat="false" ht="15" hidden="false" customHeight="false" outlineLevel="0" collapsed="false">
      <c r="A9" s="2" t="s">
        <v>79</v>
      </c>
      <c r="B9" s="2" t="s">
        <v>80</v>
      </c>
      <c r="C9" s="30" t="n">
        <v>0</v>
      </c>
    </row>
    <row r="11" customFormat="false" ht="30" hidden="false" customHeight="true" outlineLevel="0" collapsed="false">
      <c r="A11" s="1" t="s">
        <v>0</v>
      </c>
      <c r="B11" s="1" t="s">
        <v>81</v>
      </c>
      <c r="C11" s="1" t="s">
        <v>82</v>
      </c>
      <c r="D11" s="1" t="s">
        <v>83</v>
      </c>
      <c r="E11" s="1" t="s">
        <v>68</v>
      </c>
      <c r="F11" s="1" t="s">
        <v>65</v>
      </c>
      <c r="G11" s="1" t="s">
        <v>84</v>
      </c>
      <c r="H11" s="1" t="s">
        <v>85</v>
      </c>
      <c r="I11" s="1" t="s">
        <v>86</v>
      </c>
      <c r="J11" s="1" t="s">
        <v>87</v>
      </c>
      <c r="K11" s="1" t="s">
        <v>88</v>
      </c>
      <c r="L11" s="1" t="s">
        <v>89</v>
      </c>
      <c r="M11" s="1" t="s">
        <v>69</v>
      </c>
    </row>
    <row r="12" customFormat="false" ht="15" hidden="false" customHeight="false" outlineLevel="0" collapsed="false">
      <c r="A12" s="2" t="s">
        <v>11</v>
      </c>
      <c r="B12" s="31" t="n">
        <f aca="false">AgentOps!J2</f>
        <v>0.61</v>
      </c>
      <c r="C12" s="31" t="n">
        <f aca="false">AgentOps!L2</f>
        <v>0.740740740740741</v>
      </c>
      <c r="D12" s="31" t="n">
        <f aca="false">AgentOps!M2</f>
        <v>0.740740740740741</v>
      </c>
      <c r="E12" s="31" t="n">
        <f aca="false">AgentOps!N2</f>
        <v>0.967307692307692</v>
      </c>
      <c r="F12" s="31" t="n">
        <f aca="false">AgentOps!K2</f>
        <v>0.29</v>
      </c>
      <c r="G12" s="31" t="n">
        <f aca="false">'Forecast MAPE'!C6</f>
        <v>0.149</v>
      </c>
      <c r="H12" s="32" t="n">
        <f aca="false">'Guest Experience'!D6</f>
        <v>4.62</v>
      </c>
      <c r="I12" s="33" t="n">
        <v>0</v>
      </c>
      <c r="J12" s="2" t="n">
        <f aca="false">(B12&lt;$C$2)+(C12&lt;$C$3)+(D12&lt;$C$4)+(E12&lt;$C$5)+(F12&gt;$C$6)+(G12&gt;$C$7)+(H12&lt;$C$8)+(I12&lt;&gt;$C$9)</f>
        <v>6</v>
      </c>
      <c r="K12" s="34" t="str">
        <f aca="false">IF(AND(B12&gt;=$C$2,C12&gt;=$C$3,D12&gt;=$C$4,E12&gt;=$C$5,F12&lt;=$C$6,G12&lt;=$C$7,H12&gt;=$C$8,I12=$C$9),"PASS","HOLD")</f>
        <v>HOLD</v>
      </c>
      <c r="L12" s="2" t="str">
        <f aca="false">IF(K12="PASS","—",IF(B12&lt;$C$2,"Acceptance",IF(C12&lt;$C$3,"Recall",IF(D12&lt;$C$4,"Precision",IF(E12&lt;$C$5,"Tool reliability",IF(F12&gt;$C$6,"Override rate",IF(G12&gt;$C$7,"MAPE",IF(H12&lt;$C$8,"Guest score","Policy"))))))))</f>
        <v>Acceptance</v>
      </c>
      <c r="M12" s="35" t="n">
        <f aca="false">AgentOps!O2</f>
        <v>73.2429487179487</v>
      </c>
    </row>
    <row r="13" customFormat="false" ht="15" hidden="false" customHeight="false" outlineLevel="0" collapsed="false">
      <c r="A13" s="2" t="s">
        <v>13</v>
      </c>
      <c r="B13" s="31" t="n">
        <f aca="false">AgentOps!J3</f>
        <v>0.666666666666667</v>
      </c>
      <c r="C13" s="31" t="n">
        <f aca="false">AgentOps!L3</f>
        <v>0.777777777777778</v>
      </c>
      <c r="D13" s="31" t="n">
        <f aca="false">AgentOps!M3</f>
        <v>0.777777777777778</v>
      </c>
      <c r="E13" s="31" t="n">
        <f aca="false">AgentOps!N3</f>
        <v>0.974311926605505</v>
      </c>
      <c r="F13" s="31" t="n">
        <f aca="false">AgentOps!K3</f>
        <v>0.25</v>
      </c>
      <c r="G13" s="31" t="n">
        <f aca="false">'Forecast MAPE'!C7</f>
        <v>0.132</v>
      </c>
      <c r="H13" s="32" t="n">
        <f aca="false">'Guest Experience'!D7</f>
        <v>4.64</v>
      </c>
      <c r="I13" s="33" t="n">
        <v>0</v>
      </c>
      <c r="J13" s="2" t="n">
        <f aca="false">(B13&lt;$C$2)+(C13&lt;$C$3)+(D13&lt;$C$4)+(E13&lt;$C$5)+(F13&gt;$C$6)+(G13&gt;$C$7)+(H13&lt;$C$8)+(I13&lt;&gt;$C$9)</f>
        <v>6</v>
      </c>
      <c r="K13" s="34" t="str">
        <f aca="false">IF(AND(B13&gt;=$C$2,C13&gt;=$C$3,D13&gt;=$C$4,E13&gt;=$C$5,F13&lt;=$C$6,G13&lt;=$C$7,H13&gt;=$C$8,I13=$C$9),"PASS","HOLD")</f>
        <v>HOLD</v>
      </c>
      <c r="L13" s="2" t="str">
        <f aca="false">IF(K13="PASS","—",IF(B13&lt;$C$2,"Acceptance",IF(C13&lt;$C$3,"Recall",IF(D13&lt;$C$4,"Precision",IF(E13&lt;$C$5,"Tool reliability",IF(F13&gt;$C$6,"Override rate",IF(G13&gt;$C$7,"MAPE",IF(H13&lt;$C$8,"Guest score","Policy"))))))))</f>
        <v>Acceptance</v>
      </c>
      <c r="M13" s="35" t="n">
        <f aca="false">AgentOps!O3</f>
        <v>77.1146788990826</v>
      </c>
    </row>
    <row r="14" customFormat="false" ht="15" hidden="false" customHeight="false" outlineLevel="0" collapsed="false">
      <c r="A14" s="2" t="s">
        <v>14</v>
      </c>
      <c r="B14" s="31" t="n">
        <f aca="false">AgentOps!J4</f>
        <v>0.721739130434783</v>
      </c>
      <c r="C14" s="31" t="n">
        <f aca="false">AgentOps!L4</f>
        <v>0.821428571428571</v>
      </c>
      <c r="D14" s="31" t="n">
        <f aca="false">AgentOps!M4</f>
        <v>0.821428571428571</v>
      </c>
      <c r="E14" s="31" t="n">
        <f aca="false">AgentOps!N4</f>
        <v>0.980701754385965</v>
      </c>
      <c r="F14" s="31" t="n">
        <f aca="false">AgentOps!K4</f>
        <v>0.208695652173913</v>
      </c>
      <c r="G14" s="31" t="n">
        <f aca="false">'Forecast MAPE'!C8</f>
        <v>0.117</v>
      </c>
      <c r="H14" s="32" t="n">
        <f aca="false">'Guest Experience'!D8</f>
        <v>4.63</v>
      </c>
      <c r="I14" s="33" t="n">
        <v>0</v>
      </c>
      <c r="J14" s="2" t="n">
        <f aca="false">(B14&lt;$C$2)+(C14&lt;$C$3)+(D14&lt;$C$4)+(E14&lt;$C$5)+(F14&gt;$C$6)+(G14&gt;$C$7)+(H14&lt;$C$8)+(I14&lt;&gt;$C$9)</f>
        <v>6</v>
      </c>
      <c r="K14" s="34" t="str">
        <f aca="false">IF(AND(B14&gt;=$C$2,C14&gt;=$C$3,D14&gt;=$C$4,E14&gt;=$C$5,F14&lt;=$C$6,G14&lt;=$C$7,H14&gt;=$C$8,I14=$C$9),"PASS","HOLD")</f>
        <v>HOLD</v>
      </c>
      <c r="L14" s="2" t="str">
        <f aca="false">IF(K14="PASS","—",IF(B14&lt;$C$2,"Acceptance",IF(C14&lt;$C$3,"Recall",IF(D14&lt;$C$4,"Precision",IF(E14&lt;$C$5,"Tool reliability",IF(F14&gt;$C$6,"Override rate",IF(G14&gt;$C$7,"MAPE",IF(H14&lt;$C$8,"Guest score","Policy"))))))))</f>
        <v>Acceptance</v>
      </c>
      <c r="M14" s="35" t="n">
        <f aca="false">AgentOps!O4</f>
        <v>81.2400294213796</v>
      </c>
    </row>
    <row r="15" customFormat="false" ht="15" hidden="false" customHeight="false" outlineLevel="0" collapsed="false">
      <c r="A15" s="2" t="s">
        <v>15</v>
      </c>
      <c r="B15" s="31" t="n">
        <f aca="false">AgentOps!J5</f>
        <v>0.760330578512397</v>
      </c>
      <c r="C15" s="31" t="n">
        <f aca="false">AgentOps!L5</f>
        <v>0.851851851851852</v>
      </c>
      <c r="D15" s="31" t="n">
        <f aca="false">AgentOps!M5</f>
        <v>0.851851851851852</v>
      </c>
      <c r="E15" s="31" t="n">
        <f aca="false">AgentOps!N5</f>
        <v>0.984873949579832</v>
      </c>
      <c r="F15" s="31" t="n">
        <f aca="false">AgentOps!K5</f>
        <v>0.181818181818182</v>
      </c>
      <c r="G15" s="31" t="n">
        <f aca="false">'Forecast MAPE'!C9</f>
        <v>0.104</v>
      </c>
      <c r="H15" s="32" t="n">
        <f aca="false">'Guest Experience'!D9</f>
        <v>4.65</v>
      </c>
      <c r="I15" s="33" t="n">
        <v>0</v>
      </c>
      <c r="J15" s="2" t="n">
        <f aca="false">(B15&lt;$C$2)+(C15&lt;$C$3)+(D15&lt;$C$4)+(E15&lt;$C$5)+(F15&gt;$C$6)+(G15&gt;$C$7)+(H15&lt;$C$8)+(I15&lt;&gt;$C$9)</f>
        <v>5</v>
      </c>
      <c r="K15" s="34" t="str">
        <f aca="false">IF(AND(B15&gt;=$C$2,C15&gt;=$C$3,D15&gt;=$C$4,E15&gt;=$C$5,F15&lt;=$C$6,G15&lt;=$C$7,H15&gt;=$C$8,I15=$C$9),"PASS","HOLD")</f>
        <v>HOLD</v>
      </c>
      <c r="L15" s="2" t="str">
        <f aca="false">IF(K15="PASS","—",IF(B15&lt;$C$2,"Acceptance",IF(C15&lt;$C$3,"Recall",IF(D15&lt;$C$4,"Precision",IF(E15&lt;$C$5,"Tool reliability",IF(F15&gt;$C$6,"Override rate",IF(G15&gt;$C$7,"MAPE",IF(H15&lt;$C$8,"Guest score","Policy"))))))))</f>
        <v>Acceptance</v>
      </c>
      <c r="M15" s="35" t="n">
        <f aca="false">AgentOps!O5</f>
        <v>84.0981781142209</v>
      </c>
    </row>
    <row r="16" customFormat="false" ht="15" hidden="false" customHeight="false" outlineLevel="0" collapsed="false">
      <c r="A16" s="2" t="s">
        <v>16</v>
      </c>
      <c r="B16" s="31" t="n">
        <f aca="false">AgentOps!J6</f>
        <v>0.796875</v>
      </c>
      <c r="C16" s="31" t="n">
        <f aca="false">AgentOps!L6</f>
        <v>0.884615384615385</v>
      </c>
      <c r="D16" s="31" t="n">
        <f aca="false">AgentOps!M6</f>
        <v>0.851851851851852</v>
      </c>
      <c r="E16" s="31" t="n">
        <f aca="false">AgentOps!N6</f>
        <v>0.987096774193548</v>
      </c>
      <c r="F16" s="31" t="n">
        <f aca="false">AgentOps!K6</f>
        <v>0.1484375</v>
      </c>
      <c r="G16" s="31" t="n">
        <f aca="false">'Forecast MAPE'!C10</f>
        <v>0.092</v>
      </c>
      <c r="H16" s="32" t="n">
        <f aca="false">'Guest Experience'!D10</f>
        <v>4.66</v>
      </c>
      <c r="I16" s="33" t="n">
        <v>0</v>
      </c>
      <c r="J16" s="2" t="n">
        <f aca="false">(B16&lt;$C$2)+(C16&lt;$C$3)+(D16&lt;$C$4)+(E16&lt;$C$5)+(F16&gt;$C$6)+(G16&gt;$C$7)+(H16&lt;$C$8)+(I16&lt;&gt;$C$9)</f>
        <v>3</v>
      </c>
      <c r="K16" s="34" t="str">
        <f aca="false">IF(AND(B16&gt;=$C$2,C16&gt;=$C$3,D16&gt;=$C$4,E16&gt;=$C$5,F16&lt;=$C$6,G16&lt;=$C$7,H16&gt;=$C$8,I16=$C$9),"PASS","HOLD")</f>
        <v>HOLD</v>
      </c>
      <c r="L16" s="2" t="str">
        <f aca="false">IF(K16="PASS","—",IF(B16&lt;$C$2,"Acceptance",IF(C16&lt;$C$3,"Recall",IF(D16&lt;$C$4,"Precision",IF(E16&lt;$C$5,"Tool reliability",IF(F16&gt;$C$6,"Override rate",IF(G16&gt;$C$7,"MAPE",IF(H16&lt;$C$8,"Guest score","Policy"))))))))</f>
        <v>Acceptance</v>
      </c>
      <c r="M16" s="35" t="n">
        <f aca="false">AgentOps!O6</f>
        <v>86.3807482653249</v>
      </c>
    </row>
    <row r="17" customFormat="false" ht="15" hidden="false" customHeight="false" outlineLevel="0" collapsed="false">
      <c r="A17" s="2" t="s">
        <v>17</v>
      </c>
      <c r="B17" s="31" t="n">
        <f aca="false">AgentOps!J7</f>
        <v>0.833333333333333</v>
      </c>
      <c r="C17" s="31" t="n">
        <f aca="false">AgentOps!L7</f>
        <v>0.92</v>
      </c>
      <c r="D17" s="31" t="n">
        <f aca="false">AgentOps!M7</f>
        <v>0.884615384615385</v>
      </c>
      <c r="E17" s="31" t="n">
        <f aca="false">AgentOps!N7</f>
        <v>0.9890625</v>
      </c>
      <c r="F17" s="31" t="n">
        <f aca="false">AgentOps!K7</f>
        <v>0.128787878787879</v>
      </c>
      <c r="G17" s="31" t="n">
        <f aca="false">'Forecast MAPE'!C11</f>
        <v>0.085</v>
      </c>
      <c r="H17" s="32" t="n">
        <f aca="false">'Guest Experience'!D11</f>
        <v>4.65</v>
      </c>
      <c r="I17" s="33" t="n">
        <v>0</v>
      </c>
      <c r="J17" s="2" t="n">
        <f aca="false">(B17&lt;$C$2)+(C17&lt;$C$3)+(D17&lt;$C$4)+(E17&lt;$C$5)+(F17&gt;$C$6)+(G17&gt;$C$7)+(H17&lt;$C$8)+(I17&lt;&gt;$C$9)</f>
        <v>1</v>
      </c>
      <c r="K17" s="34" t="str">
        <f aca="false">IF(AND(B17&gt;=$C$2,C17&gt;=$C$3,D17&gt;=$C$4,E17&gt;=$C$5,F17&lt;=$C$6,G17&lt;=$C$7,H17&gt;=$C$8,I17=$C$9),"PASS","HOLD")</f>
        <v>HOLD</v>
      </c>
      <c r="L17" s="2" t="str">
        <f aca="false">IF(K17="PASS","—",IF(B17&lt;$C$2,"Acceptance",IF(C17&lt;$C$3,"Recall",IF(D17&lt;$C$4,"Precision",IF(E17&lt;$C$5,"Tool reliability",IF(F17&gt;$C$6,"Override rate",IF(G17&gt;$C$7,"MAPE",IF(H17&lt;$C$8,"Guest score","Policy"))))))))</f>
        <v>Tool reliability</v>
      </c>
      <c r="M17" s="35" t="n">
        <f aca="false">AgentOps!O7</f>
        <v>89.2403664044289</v>
      </c>
    </row>
    <row r="18" customFormat="false" ht="15" hidden="false" customHeight="false" outlineLevel="0" collapsed="false">
      <c r="A18" s="2" t="s">
        <v>18</v>
      </c>
      <c r="B18" s="31" t="n">
        <f aca="false">AgentOps!J8</f>
        <v>0.863309352517986</v>
      </c>
      <c r="C18" s="31" t="n">
        <f aca="false">AgentOps!L8</f>
        <v>0.925925925925926</v>
      </c>
      <c r="D18" s="31" t="n">
        <f aca="false">AgentOps!M8</f>
        <v>0.925925925925926</v>
      </c>
      <c r="E18" s="31" t="n">
        <f aca="false">AgentOps!N8</f>
        <v>0.990977443609023</v>
      </c>
      <c r="F18" s="31" t="n">
        <f aca="false">AgentOps!K8</f>
        <v>0.107913669064748</v>
      </c>
      <c r="G18" s="31" t="n">
        <f aca="false">'Forecast MAPE'!C12</f>
        <v>0.078</v>
      </c>
      <c r="H18" s="32" t="n">
        <f aca="false">'Guest Experience'!D12</f>
        <v>4.67</v>
      </c>
      <c r="I18" s="33" t="n">
        <v>0</v>
      </c>
      <c r="J18" s="2" t="n">
        <f aca="false">(B18&lt;$C$2)+(C18&lt;$C$3)+(D18&lt;$C$4)+(E18&lt;$C$5)+(F18&gt;$C$6)+(G18&gt;$C$7)+(H18&lt;$C$8)+(I18&lt;&gt;$C$9)</f>
        <v>0</v>
      </c>
      <c r="K18" s="34" t="str">
        <f aca="false">IF(AND(B18&gt;=$C$2,C18&gt;=$C$3,D18&gt;=$C$4,E18&gt;=$C$5,F18&lt;=$C$6,G18&lt;=$C$7,H18&gt;=$C$8,I18=$C$9),"PASS","HOLD")</f>
        <v>PASS</v>
      </c>
      <c r="L18" s="2" t="str">
        <f aca="false">IF(K18="PASS","—",IF(B18&lt;$C$2,"Acceptance",IF(C18&lt;$C$3,"Recall",IF(D18&lt;$C$4,"Precision",IF(E18&lt;$C$5,"Tool reliability",IF(F18&gt;$C$6,"Override rate",IF(G18&gt;$C$7,"MAPE",IF(H18&lt;$C$8,"Guest score","Policy"))))))))</f>
        <v>—</v>
      </c>
      <c r="M18" s="35" t="n">
        <f aca="false">AgentOps!O8</f>
        <v>91.3514722056941</v>
      </c>
    </row>
    <row r="19" customFormat="false" ht="15" hidden="false" customHeight="false" outlineLevel="0" collapsed="false">
      <c r="A19" s="2" t="s">
        <v>19</v>
      </c>
      <c r="B19" s="31" t="n">
        <f aca="false">AgentOps!J9</f>
        <v>0.882758620689655</v>
      </c>
      <c r="C19" s="31" t="n">
        <f aca="false">AgentOps!L9</f>
        <v>0.954545454545455</v>
      </c>
      <c r="D19" s="31" t="n">
        <f aca="false">AgentOps!M9</f>
        <v>0.91304347826087</v>
      </c>
      <c r="E19" s="31" t="n">
        <f aca="false">AgentOps!N9</f>
        <v>0.994202898550725</v>
      </c>
      <c r="F19" s="31" t="n">
        <f aca="false">AgentOps!K9</f>
        <v>0.0896551724137931</v>
      </c>
      <c r="G19" s="31" t="n">
        <f aca="false">'Forecast MAPE'!C13</f>
        <v>0.072</v>
      </c>
      <c r="H19" s="32" t="n">
        <f aca="false">'Guest Experience'!D13</f>
        <v>4.68</v>
      </c>
      <c r="I19" s="33" t="n">
        <v>0</v>
      </c>
      <c r="J19" s="2" t="n">
        <f aca="false">(B19&lt;$C$2)+(C19&lt;$C$3)+(D19&lt;$C$4)+(E19&lt;$C$5)+(F19&gt;$C$6)+(G19&gt;$C$7)+(H19&lt;$C$8)+(I19&lt;&gt;$C$9)</f>
        <v>0</v>
      </c>
      <c r="K19" s="34" t="str">
        <f aca="false">IF(AND(B19&gt;=$C$2,C19&gt;=$C$3,D19&gt;=$C$4,E19&gt;=$C$5,F19&lt;=$C$6,G19&lt;=$C$7,H19&gt;=$C$8,I19=$C$9),"PASS","HOLD")</f>
        <v>PASS</v>
      </c>
      <c r="L19" s="2" t="str">
        <f aca="false">IF(K19="PASS","—",IF(B19&lt;$C$2,"Acceptance",IF(C19&lt;$C$3,"Recall",IF(D19&lt;$C$4,"Precision",IF(E19&lt;$C$5,"Tool reliability",IF(F19&gt;$C$6,"Override rate",IF(G19&gt;$C$7,"MAPE",IF(H19&lt;$C$8,"Guest score","Policy"))))))))</f>
        <v>—</v>
      </c>
      <c r="M19" s="35" t="n">
        <f aca="false">AgentOps!O9</f>
        <v>92.6237563036663</v>
      </c>
    </row>
    <row r="20" customFormat="false" ht="15" hidden="false" customHeight="false" outlineLevel="0" collapsed="false">
      <c r="A20" s="7" t="s">
        <v>90</v>
      </c>
    </row>
    <row r="22" customFormat="false" ht="15" hidden="false" customHeight="false" outlineLevel="0" collapsed="false">
      <c r="A22" s="8" t="s">
        <v>91</v>
      </c>
    </row>
    <row r="23" customFormat="false" ht="15" hidden="false" customHeight="false" outlineLevel="0" collapsed="false">
      <c r="A23" s="2" t="s">
        <v>74</v>
      </c>
      <c r="C23" s="6" t="n">
        <v>0.3</v>
      </c>
    </row>
    <row r="24" customFormat="false" ht="15" hidden="false" customHeight="false" outlineLevel="0" collapsed="false">
      <c r="A24" s="2" t="s">
        <v>66</v>
      </c>
      <c r="C24" s="6" t="n">
        <v>0.25</v>
      </c>
    </row>
    <row r="25" customFormat="false" ht="15" hidden="false" customHeight="false" outlineLevel="0" collapsed="false">
      <c r="A25" s="2" t="s">
        <v>67</v>
      </c>
      <c r="C25" s="6" t="n">
        <v>0.2</v>
      </c>
    </row>
    <row r="26" customFormat="false" ht="15" hidden="false" customHeight="false" outlineLevel="0" collapsed="false">
      <c r="A26" s="2" t="s">
        <v>68</v>
      </c>
      <c r="C26" s="6" t="n">
        <v>0.15</v>
      </c>
    </row>
    <row r="27" customFormat="false" ht="15" hidden="false" customHeight="false" outlineLevel="0" collapsed="false">
      <c r="A27" s="2" t="s">
        <v>92</v>
      </c>
      <c r="C27" s="6" t="n">
        <v>0.1</v>
      </c>
    </row>
    <row r="28" customFormat="false" ht="15" hidden="false" customHeight="false" outlineLevel="0" collapsed="false">
      <c r="A28" s="8" t="s">
        <v>93</v>
      </c>
      <c r="C28" s="9" t="n">
        <f aca="false">SUM(C23:C27)</f>
        <v>1</v>
      </c>
    </row>
    <row r="29" customFormat="false" ht="15" hidden="false" customHeight="false" outlineLevel="0" collapsed="false">
      <c r="A29" s="7" t="s">
        <v>94</v>
      </c>
    </row>
  </sheetData>
  <conditionalFormatting sqref="K12:K19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"HOLD"</formula>
    </cfRule>
  </conditionalFormatting>
  <conditionalFormatting sqref="B12:B19">
    <cfRule type="cellIs" priority="4" operator="lessThan" aboveAverage="0" equalAverage="0" bottom="0" percent="0" rank="0" text="" dxfId="1">
      <formula>$C$2</formula>
    </cfRule>
  </conditionalFormatting>
  <conditionalFormatting sqref="C12:C19">
    <cfRule type="cellIs" priority="5" operator="lessThan" aboveAverage="0" equalAverage="0" bottom="0" percent="0" rank="0" text="" dxfId="1">
      <formula>$C$3</formula>
    </cfRule>
  </conditionalFormatting>
  <conditionalFormatting sqref="D12:D19">
    <cfRule type="cellIs" priority="6" operator="lessThan" aboveAverage="0" equalAverage="0" bottom="0" percent="0" rank="0" text="" dxfId="1">
      <formula>$C$4</formula>
    </cfRule>
  </conditionalFormatting>
  <conditionalFormatting sqref="E12:E19">
    <cfRule type="cellIs" priority="7" operator="lessThan" aboveAverage="0" equalAverage="0" bottom="0" percent="0" rank="0" text="" dxfId="1">
      <formula>$C$5</formula>
    </cfRule>
  </conditionalFormatting>
  <conditionalFormatting sqref="F12:F19">
    <cfRule type="cellIs" priority="8" operator="greaterThan" aboveAverage="0" equalAverage="0" bottom="0" percent="0" rank="0" text="" dxfId="1">
      <formula>$C$6</formula>
    </cfRule>
  </conditionalFormatting>
  <conditionalFormatting sqref="G12:G19">
    <cfRule type="cellIs" priority="9" operator="greaterThan" aboveAverage="0" equalAverage="0" bottom="0" percent="0" rank="0" text="" dxfId="1">
      <formula>$C$7</formula>
    </cfRule>
  </conditionalFormatting>
  <conditionalFormatting sqref="H12:H19">
    <cfRule type="cellIs" priority="10" operator="lessThan" aboveAverage="0" equalAverage="0" bottom="0" percent="0" rank="0" text="" dxfId="1">
      <formula>$C$8</formula>
    </cfRule>
  </conditionalFormatting>
  <conditionalFormatting sqref="I12:I19">
    <cfRule type="cellIs" priority="11" operator="notEqual" aboveAverage="0" equalAverage="0" bottom="0" percent="0" rank="0" text="" dxfId="1">
      <formula>$C$9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8"/>
  </cols>
  <sheetData>
    <row r="1" customFormat="false" ht="30" hidden="false" customHeight="true" outlineLevel="0" collapsed="false">
      <c r="A1" s="1" t="s">
        <v>95</v>
      </c>
      <c r="B1" s="1" t="s">
        <v>96</v>
      </c>
      <c r="C1" s="1" t="s">
        <v>97</v>
      </c>
      <c r="D1" s="1" t="s">
        <v>72</v>
      </c>
      <c r="E1" s="1" t="s">
        <v>98</v>
      </c>
      <c r="F1" s="1" t="s">
        <v>99</v>
      </c>
      <c r="G1" s="1" t="s">
        <v>100</v>
      </c>
    </row>
    <row r="2" customFormat="false" ht="15" hidden="false" customHeight="false" outlineLevel="0" collapsed="false">
      <c r="A2" s="8" t="s">
        <v>101</v>
      </c>
      <c r="B2" s="2" t="s">
        <v>74</v>
      </c>
      <c r="C2" s="31" t="n">
        <f aca="false">AgentOps!J9</f>
        <v>0.882758620689655</v>
      </c>
      <c r="D2" s="2" t="s">
        <v>102</v>
      </c>
      <c r="E2" s="36" t="n">
        <v>0.8</v>
      </c>
      <c r="F2" s="8" t="str">
        <f aca="false">IF(D2="&gt;=",IF(C2&gt;=E2,"On target","Watch"),IF(D2="&lt;=",IF(C2&lt;=E2,"On target","Watch"),IF(C2=E2,"On target","Watch")))</f>
        <v>On target</v>
      </c>
      <c r="G2" s="2" t="s">
        <v>103</v>
      </c>
    </row>
    <row r="3" customFormat="false" ht="15" hidden="false" customHeight="false" outlineLevel="0" collapsed="false">
      <c r="A3" s="8" t="s">
        <v>101</v>
      </c>
      <c r="B3" s="2" t="s">
        <v>30</v>
      </c>
      <c r="C3" s="31" t="n">
        <f aca="false">'Forecast MAPE'!C13</f>
        <v>0.072</v>
      </c>
      <c r="D3" s="2" t="s">
        <v>104</v>
      </c>
      <c r="E3" s="36" t="n">
        <v>0.1</v>
      </c>
      <c r="F3" s="8" t="str">
        <f aca="false">IF(D3="&gt;=",IF(C3&gt;=E3,"On target","Watch"),IF(D3="&lt;=",IF(C3&lt;=E3,"On target","Watch"),IF(C3=E3,"On target","Watch")))</f>
        <v>On target</v>
      </c>
      <c r="G3" s="2" t="s">
        <v>30</v>
      </c>
    </row>
    <row r="4" customFormat="false" ht="15" hidden="false" customHeight="false" outlineLevel="0" collapsed="false">
      <c r="A4" s="8" t="s">
        <v>101</v>
      </c>
      <c r="B4" s="2" t="s">
        <v>105</v>
      </c>
      <c r="C4" s="36" t="n">
        <v>0.91</v>
      </c>
      <c r="D4" s="2" t="s">
        <v>102</v>
      </c>
      <c r="E4" s="36" t="n">
        <v>0.85</v>
      </c>
      <c r="F4" s="8" t="str">
        <f aca="false">IF(D4="&gt;=",IF(C4&gt;=E4,"On target","Watch"),IF(D4="&lt;=",IF(C4&lt;=E4,"On target","Watch"),IF(C4=E4,"On target","Watch")))</f>
        <v>On target</v>
      </c>
      <c r="G4" s="7" t="s">
        <v>106</v>
      </c>
    </row>
    <row r="5" customFormat="false" ht="15" hidden="false" customHeight="false" outlineLevel="0" collapsed="false">
      <c r="A5" s="8" t="s">
        <v>107</v>
      </c>
      <c r="B5" s="2" t="s">
        <v>66</v>
      </c>
      <c r="C5" s="31" t="n">
        <f aca="false">AgentOps!L9</f>
        <v>0.954545454545455</v>
      </c>
      <c r="D5" s="2" t="s">
        <v>102</v>
      </c>
      <c r="E5" s="36" t="n">
        <v>0.9</v>
      </c>
      <c r="F5" s="8" t="str">
        <f aca="false">IF(D5="&gt;=",IF(C5&gt;=E5,"On target","Watch"),IF(D5="&lt;=",IF(C5&lt;=E5,"On target","Watch"),IF(C5=E5,"On target","Watch")))</f>
        <v>On target</v>
      </c>
      <c r="G5" s="2" t="s">
        <v>103</v>
      </c>
    </row>
    <row r="6" customFormat="false" ht="15" hidden="false" customHeight="false" outlineLevel="0" collapsed="false">
      <c r="A6" s="8" t="s">
        <v>107</v>
      </c>
      <c r="B6" s="2" t="s">
        <v>67</v>
      </c>
      <c r="C6" s="31" t="n">
        <f aca="false">AgentOps!M9</f>
        <v>0.91304347826087</v>
      </c>
      <c r="D6" s="2" t="s">
        <v>102</v>
      </c>
      <c r="E6" s="36" t="n">
        <v>0.85</v>
      </c>
      <c r="F6" s="8" t="str">
        <f aca="false">IF(D6="&gt;=",IF(C6&gt;=E6,"On target","Watch"),IF(D6="&lt;=",IF(C6&lt;=E6,"On target","Watch"),IF(C6=E6,"On target","Watch")))</f>
        <v>On target</v>
      </c>
      <c r="G6" s="2" t="s">
        <v>103</v>
      </c>
    </row>
    <row r="7" customFormat="false" ht="15" hidden="false" customHeight="false" outlineLevel="0" collapsed="false">
      <c r="A7" s="8" t="s">
        <v>107</v>
      </c>
      <c r="B7" s="2" t="s">
        <v>86</v>
      </c>
      <c r="C7" s="30" t="n">
        <v>0</v>
      </c>
      <c r="D7" s="2" t="s">
        <v>80</v>
      </c>
      <c r="E7" s="30" t="n">
        <v>0</v>
      </c>
      <c r="F7" s="8" t="str">
        <f aca="false">IF(D7="&gt;=",IF(C7&gt;=E7,"On target","Watch"),IF(D7="&lt;=",IF(C7&lt;=E7,"On target","Watch"),IF(C7=E7,"On target","Watch")))</f>
        <v>On target</v>
      </c>
      <c r="G7" s="7" t="s">
        <v>106</v>
      </c>
    </row>
    <row r="8" customFormat="false" ht="15" hidden="false" customHeight="false" outlineLevel="0" collapsed="false">
      <c r="A8" s="8" t="s">
        <v>107</v>
      </c>
      <c r="B8" s="2" t="s">
        <v>108</v>
      </c>
      <c r="C8" s="36" t="n">
        <v>0.92</v>
      </c>
      <c r="D8" s="2" t="s">
        <v>102</v>
      </c>
      <c r="E8" s="36" t="n">
        <v>0.9</v>
      </c>
      <c r="F8" s="8" t="str">
        <f aca="false">IF(D8="&gt;=",IF(C8&gt;=E8,"On target","Watch"),IF(D8="&lt;=",IF(C8&lt;=E8,"On target","Watch"),IF(C8=E8,"On target","Watch")))</f>
        <v>On target</v>
      </c>
      <c r="G8" s="7" t="s">
        <v>106</v>
      </c>
    </row>
    <row r="9" customFormat="false" ht="15" hidden="false" customHeight="false" outlineLevel="0" collapsed="false">
      <c r="A9" s="8" t="s">
        <v>109</v>
      </c>
      <c r="B9" s="2" t="s">
        <v>110</v>
      </c>
      <c r="C9" s="31" t="n">
        <f aca="false">AgentOps!N9</f>
        <v>0.994202898550725</v>
      </c>
      <c r="D9" s="2" t="s">
        <v>102</v>
      </c>
      <c r="E9" s="36" t="n">
        <v>0.99</v>
      </c>
      <c r="F9" s="8" t="str">
        <f aca="false">IF(D9="&gt;=",IF(C9&gt;=E9,"On target","Watch"),IF(D9="&lt;=",IF(C9&lt;=E9,"On target","Watch"),IF(C9=E9,"On target","Watch")))</f>
        <v>On target</v>
      </c>
      <c r="G9" s="2" t="s">
        <v>103</v>
      </c>
    </row>
    <row r="10" customFormat="false" ht="15" hidden="false" customHeight="false" outlineLevel="0" collapsed="false">
      <c r="A10" s="8" t="s">
        <v>109</v>
      </c>
      <c r="B10" s="2" t="s">
        <v>111</v>
      </c>
      <c r="C10" s="36" t="n">
        <v>0.978</v>
      </c>
      <c r="D10" s="2" t="s">
        <v>102</v>
      </c>
      <c r="E10" s="36" t="n">
        <v>0.95</v>
      </c>
      <c r="F10" s="8" t="str">
        <f aca="false">IF(D10="&gt;=",IF(C10&gt;=E10,"On target","Watch"),IF(D10="&lt;=",IF(C10&lt;=E10,"On target","Watch"),IF(C10=E10,"On target","Watch")))</f>
        <v>On target</v>
      </c>
      <c r="G10" s="7" t="s">
        <v>106</v>
      </c>
    </row>
    <row r="11" customFormat="false" ht="15" hidden="false" customHeight="false" outlineLevel="0" collapsed="false">
      <c r="A11" s="8" t="s">
        <v>109</v>
      </c>
      <c r="B11" s="2" t="s">
        <v>77</v>
      </c>
      <c r="C11" s="31" t="n">
        <f aca="false">AgentOps!K9</f>
        <v>0.0896551724137931</v>
      </c>
      <c r="D11" s="2" t="s">
        <v>104</v>
      </c>
      <c r="E11" s="36" t="n">
        <v>0.15</v>
      </c>
      <c r="F11" s="8" t="str">
        <f aca="false">IF(D11="&gt;=",IF(C11&gt;=E11,"On target","Watch"),IF(D11="&lt;=",IF(C11&lt;=E11,"On target","Watch"),IF(C11=E11,"On target","Watch")))</f>
        <v>On target</v>
      </c>
      <c r="G11" s="2" t="s">
        <v>103</v>
      </c>
    </row>
    <row r="12" customFormat="false" ht="15" hidden="false" customHeight="false" outlineLevel="0" collapsed="false">
      <c r="A12" s="8" t="s">
        <v>109</v>
      </c>
      <c r="B12" s="2" t="s">
        <v>112</v>
      </c>
      <c r="C12" s="36" t="n">
        <v>0.006</v>
      </c>
      <c r="D12" s="2" t="s">
        <v>104</v>
      </c>
      <c r="E12" s="36" t="n">
        <v>0.01</v>
      </c>
      <c r="F12" s="8" t="str">
        <f aca="false">IF(D12="&gt;=",IF(C12&gt;=E12,"On target","Watch"),IF(D12="&lt;=",IF(C12&lt;=E12,"On target","Watch"),IF(C12=E12,"On target","Watch")))</f>
        <v>On target</v>
      </c>
      <c r="G12" s="7" t="s">
        <v>106</v>
      </c>
    </row>
    <row r="13" customFormat="false" ht="15" hidden="false" customHeight="false" outlineLevel="0" collapsed="false">
      <c r="A13" s="8" t="s">
        <v>113</v>
      </c>
      <c r="B13" s="2" t="s">
        <v>114</v>
      </c>
      <c r="C13" s="31" t="n">
        <f aca="false">-'Weekly Waste'!F4</f>
        <v>0.377686796315251</v>
      </c>
      <c r="F13" s="2" t="s">
        <v>115</v>
      </c>
      <c r="G13" s="2" t="s">
        <v>116</v>
      </c>
    </row>
    <row r="14" customFormat="false" ht="15" hidden="false" customHeight="false" outlineLevel="0" collapsed="false">
      <c r="A14" s="8" t="s">
        <v>113</v>
      </c>
      <c r="B14" s="2" t="s">
        <v>117</v>
      </c>
      <c r="C14" s="37" t="n">
        <f aca="false">'Waste Cost'!B9</f>
        <v>145000</v>
      </c>
      <c r="F14" s="2" t="s">
        <v>115</v>
      </c>
      <c r="G14" s="2" t="s">
        <v>118</v>
      </c>
    </row>
    <row r="15" customFormat="false" ht="15" hidden="false" customHeight="false" outlineLevel="0" collapsed="false">
      <c r="A15" s="8" t="s">
        <v>113</v>
      </c>
      <c r="B15" s="2" t="s">
        <v>119</v>
      </c>
      <c r="C15" s="35" t="n">
        <f aca="false">Operations!B12-Operations!B13</f>
        <v>8.2</v>
      </c>
      <c r="F15" s="2" t="s">
        <v>115</v>
      </c>
      <c r="G15" s="2" t="s">
        <v>120</v>
      </c>
    </row>
    <row r="16" customFormat="false" ht="15" hidden="false" customHeight="false" outlineLevel="0" collapsed="false">
      <c r="A16" s="8" t="s">
        <v>113</v>
      </c>
      <c r="B16" s="2" t="s">
        <v>48</v>
      </c>
      <c r="C16" s="32" t="n">
        <f aca="false">'Guest Experience'!D13</f>
        <v>4.68</v>
      </c>
      <c r="D16" s="2" t="s">
        <v>102</v>
      </c>
      <c r="E16" s="29" t="n">
        <v>4.6</v>
      </c>
      <c r="F16" s="8" t="str">
        <f aca="false">IF(D16="&gt;=",IF(C16&gt;=E16,"On target","Watch"),IF(D16="&lt;=",IF(C16&lt;=E16,"On target","Watch"),IF(C16=E16,"On target","Watch")))</f>
        <v>On target</v>
      </c>
      <c r="G16" s="2" t="s">
        <v>121</v>
      </c>
    </row>
    <row r="18" customFormat="false" ht="15" hidden="false" customHeight="false" outlineLevel="0" collapsed="false">
      <c r="A18" s="7" t="s">
        <v>122</v>
      </c>
    </row>
  </sheetData>
  <conditionalFormatting sqref="F2:F16">
    <cfRule type="cellIs" priority="2" operator="equal" aboveAverage="0" equalAverage="0" bottom="0" percent="0" rank="0" text="" dxfId="0">
      <formula>"On target"</formula>
    </cfRule>
    <cfRule type="cellIs" priority="3" operator="equal" aboveAverage="0" equalAverage="0" bottom="0" percent="0" rank="0" text="" dxfId="1">
      <formula>"Watch"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58"/>
  </cols>
  <sheetData>
    <row r="1" customFormat="false" ht="30" hidden="false" customHeight="true" outlineLevel="0" collapsed="false">
      <c r="A1" s="1" t="s">
        <v>123</v>
      </c>
      <c r="B1" s="1" t="s">
        <v>124</v>
      </c>
      <c r="C1" s="1" t="s">
        <v>125</v>
      </c>
      <c r="D1" s="1" t="s">
        <v>126</v>
      </c>
    </row>
    <row r="2" customFormat="false" ht="15" hidden="false" customHeight="false" outlineLevel="0" collapsed="false">
      <c r="A2" s="2" t="s">
        <v>127</v>
      </c>
      <c r="B2" s="33" t="n">
        <v>38</v>
      </c>
      <c r="C2" s="6" t="n">
        <f aca="false">B2/$B$9</f>
        <v>0.228915662650602</v>
      </c>
      <c r="D2" s="2" t="s">
        <v>128</v>
      </c>
    </row>
    <row r="3" customFormat="false" ht="15" hidden="false" customHeight="false" outlineLevel="0" collapsed="false">
      <c r="A3" s="2" t="s">
        <v>129</v>
      </c>
      <c r="B3" s="33" t="n">
        <v>31</v>
      </c>
      <c r="C3" s="6" t="n">
        <f aca="false">B3/$B$9</f>
        <v>0.186746987951807</v>
      </c>
      <c r="D3" s="2" t="s">
        <v>130</v>
      </c>
    </row>
    <row r="4" customFormat="false" ht="15" hidden="false" customHeight="false" outlineLevel="0" collapsed="false">
      <c r="A4" s="2" t="s">
        <v>131</v>
      </c>
      <c r="B4" s="33" t="n">
        <v>29</v>
      </c>
      <c r="C4" s="6" t="n">
        <f aca="false">B4/$B$9</f>
        <v>0.174698795180723</v>
      </c>
      <c r="D4" s="2" t="s">
        <v>132</v>
      </c>
    </row>
    <row r="5" customFormat="false" ht="15" hidden="false" customHeight="false" outlineLevel="0" collapsed="false">
      <c r="A5" s="2" t="s">
        <v>133</v>
      </c>
      <c r="B5" s="33" t="n">
        <v>24</v>
      </c>
      <c r="C5" s="6" t="n">
        <f aca="false">B5/$B$9</f>
        <v>0.144578313253012</v>
      </c>
      <c r="D5" s="2" t="s">
        <v>134</v>
      </c>
    </row>
    <row r="6" customFormat="false" ht="15" hidden="false" customHeight="false" outlineLevel="0" collapsed="false">
      <c r="A6" s="2" t="s">
        <v>135</v>
      </c>
      <c r="B6" s="33" t="n">
        <v>19</v>
      </c>
      <c r="C6" s="6" t="n">
        <f aca="false">B6/$B$9</f>
        <v>0.114457831325301</v>
      </c>
      <c r="D6" s="2" t="s">
        <v>136</v>
      </c>
    </row>
    <row r="7" customFormat="false" ht="15" hidden="false" customHeight="false" outlineLevel="0" collapsed="false">
      <c r="A7" s="2" t="s">
        <v>137</v>
      </c>
      <c r="B7" s="33" t="n">
        <v>14</v>
      </c>
      <c r="C7" s="6" t="n">
        <f aca="false">B7/$B$9</f>
        <v>0.0843373493975904</v>
      </c>
      <c r="D7" s="2" t="s">
        <v>138</v>
      </c>
    </row>
    <row r="8" customFormat="false" ht="15" hidden="false" customHeight="false" outlineLevel="0" collapsed="false">
      <c r="A8" s="2" t="s">
        <v>139</v>
      </c>
      <c r="B8" s="33" t="n">
        <v>11</v>
      </c>
      <c r="C8" s="6" t="n">
        <f aca="false">B8/$B$9</f>
        <v>0.0662650602409639</v>
      </c>
      <c r="D8" s="2" t="s">
        <v>140</v>
      </c>
    </row>
    <row r="9" customFormat="false" ht="15" hidden="false" customHeight="false" outlineLevel="0" collapsed="false">
      <c r="A9" s="8" t="s">
        <v>29</v>
      </c>
      <c r="B9" s="8" t="n">
        <f aca="false">SUM(B2:B8)</f>
        <v>166</v>
      </c>
    </row>
    <row r="10" customFormat="false" ht="15" hidden="false" customHeight="false" outlineLevel="0" collapsed="false">
      <c r="A10" s="2" t="s">
        <v>141</v>
      </c>
      <c r="B10" s="2" t="n">
        <f aca="false">SUM(AgentOps!D2:D9)</f>
        <v>166</v>
      </c>
      <c r="C10" s="2" t="str">
        <f aca="false">IF(B9=B10,"Reconciles","Mismatch")</f>
        <v>Reconciles</v>
      </c>
    </row>
    <row r="11" customFormat="false" ht="15" hidden="false" customHeight="false" outlineLevel="0" collapsed="false">
      <c r="A11" s="7" t="s">
        <v>142</v>
      </c>
    </row>
    <row r="13" customFormat="false" ht="15" hidden="false" customHeight="false" outlineLevel="0" collapsed="false">
      <c r="A13" s="12" t="s">
        <v>143</v>
      </c>
      <c r="B13" s="12" t="s">
        <v>65</v>
      </c>
      <c r="C13" s="12" t="s">
        <v>144</v>
      </c>
      <c r="D13" s="12" t="s">
        <v>145</v>
      </c>
    </row>
    <row r="14" customFormat="false" ht="15" hidden="false" customHeight="false" outlineLevel="0" collapsed="false">
      <c r="A14" s="2" t="s">
        <v>146</v>
      </c>
      <c r="B14" s="28" t="n">
        <v>0.09</v>
      </c>
    </row>
    <row r="15" customFormat="false" ht="15" hidden="false" customHeight="false" outlineLevel="0" collapsed="false">
      <c r="A15" s="2" t="s">
        <v>147</v>
      </c>
      <c r="B15" s="28" t="n">
        <v>0.1</v>
      </c>
    </row>
    <row r="16" customFormat="false" ht="15" hidden="false" customHeight="false" outlineLevel="0" collapsed="false">
      <c r="A16" s="2" t="s">
        <v>148</v>
      </c>
      <c r="B16" s="28" t="n">
        <v>0.11</v>
      </c>
    </row>
    <row r="17" customFormat="false" ht="15" hidden="false" customHeight="false" outlineLevel="0" collapsed="false">
      <c r="A17" s="2" t="s">
        <v>149</v>
      </c>
      <c r="B17" s="28" t="n">
        <v>0.23</v>
      </c>
      <c r="C17" s="6" t="n">
        <f aca="false">AVERAGE(B14:B16)</f>
        <v>0.1</v>
      </c>
      <c r="D17" s="8" t="str">
        <f aca="false">IF(B17&gt;1.5*C17,"DRIFT DETECTED","Normal")</f>
        <v>DRIFT DETECTED</v>
      </c>
    </row>
    <row r="18" customFormat="false" ht="15" hidden="false" customHeight="false" outlineLevel="0" collapsed="false">
      <c r="A18" s="7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151</v>
      </c>
      <c r="B1" s="1" t="s">
        <v>152</v>
      </c>
      <c r="C1" s="1" t="s">
        <v>153</v>
      </c>
    </row>
    <row r="2" customFormat="false" ht="15" hidden="false" customHeight="false" outlineLevel="0" collapsed="false">
      <c r="A2" s="38" t="s">
        <v>154</v>
      </c>
    </row>
    <row r="3" customFormat="false" ht="15" hidden="false" customHeight="false" outlineLevel="0" collapsed="false">
      <c r="A3" s="2" t="s">
        <v>155</v>
      </c>
      <c r="B3" s="37" t="n">
        <f aca="false">'Waste Cost'!B9</f>
        <v>145000</v>
      </c>
      <c r="C3" s="2" t="s">
        <v>156</v>
      </c>
    </row>
    <row r="4" customFormat="false" ht="15" hidden="false" customHeight="false" outlineLevel="0" collapsed="false">
      <c r="A4" s="2" t="s">
        <v>157</v>
      </c>
      <c r="B4" s="14" t="n">
        <f aca="false">B20*52*B19</f>
        <v>19188</v>
      </c>
      <c r="C4" s="2" t="s">
        <v>158</v>
      </c>
    </row>
    <row r="5" customFormat="false" ht="15" hidden="false" customHeight="false" outlineLevel="0" collapsed="false">
      <c r="A5" s="8" t="s">
        <v>159</v>
      </c>
      <c r="B5" s="39" t="n">
        <f aca="false">B3+B4</f>
        <v>164188</v>
      </c>
    </row>
    <row r="6" customFormat="false" ht="15" hidden="false" customHeight="false" outlineLevel="0" collapsed="false">
      <c r="A6" s="38" t="s">
        <v>160</v>
      </c>
    </row>
    <row r="7" customFormat="false" ht="15" hidden="false" customHeight="false" outlineLevel="0" collapsed="false">
      <c r="A7" s="2" t="s">
        <v>161</v>
      </c>
      <c r="B7" s="15" t="n">
        <v>6000</v>
      </c>
      <c r="C7" s="7" t="s">
        <v>162</v>
      </c>
    </row>
    <row r="8" customFormat="false" ht="15" hidden="false" customHeight="false" outlineLevel="0" collapsed="false">
      <c r="A8" s="2" t="s">
        <v>163</v>
      </c>
      <c r="B8" s="15" t="n">
        <v>6000</v>
      </c>
      <c r="C8" s="7" t="s">
        <v>162</v>
      </c>
    </row>
    <row r="9" customFormat="false" ht="15" hidden="false" customHeight="false" outlineLevel="0" collapsed="false">
      <c r="A9" s="2" t="s">
        <v>164</v>
      </c>
      <c r="B9" s="14" t="n">
        <f aca="false">B21*52*B19</f>
        <v>4680</v>
      </c>
      <c r="C9" s="2" t="s">
        <v>165</v>
      </c>
    </row>
    <row r="10" customFormat="false" ht="15" hidden="false" customHeight="false" outlineLevel="0" collapsed="false">
      <c r="A10" s="2" t="s">
        <v>166</v>
      </c>
      <c r="B10" s="15" t="n">
        <v>12000</v>
      </c>
      <c r="C10" s="7" t="s">
        <v>162</v>
      </c>
    </row>
    <row r="11" customFormat="false" ht="15" hidden="false" customHeight="false" outlineLevel="0" collapsed="false">
      <c r="A11" s="8" t="s">
        <v>167</v>
      </c>
      <c r="B11" s="39" t="n">
        <f aca="false">SUM(B7:B10)</f>
        <v>28680</v>
      </c>
    </row>
    <row r="12" customFormat="false" ht="15" hidden="false" customHeight="false" outlineLevel="0" collapsed="false">
      <c r="A12" s="38" t="s">
        <v>168</v>
      </c>
    </row>
    <row r="13" customFormat="false" ht="15" hidden="false" customHeight="false" outlineLevel="0" collapsed="false">
      <c r="A13" s="2" t="s">
        <v>169</v>
      </c>
      <c r="B13" s="15" t="n">
        <v>40000</v>
      </c>
      <c r="C13" s="7" t="s">
        <v>162</v>
      </c>
    </row>
    <row r="14" customFormat="false" ht="15" hidden="false" customHeight="false" outlineLevel="0" collapsed="false">
      <c r="A14" s="2" t="s">
        <v>170</v>
      </c>
      <c r="B14" s="15" t="n">
        <v>10000</v>
      </c>
      <c r="C14" s="7" t="s">
        <v>162</v>
      </c>
    </row>
    <row r="15" customFormat="false" ht="15" hidden="false" customHeight="false" outlineLevel="0" collapsed="false">
      <c r="A15" s="8" t="s">
        <v>171</v>
      </c>
      <c r="B15" s="39" t="n">
        <f aca="false">B13+B14</f>
        <v>50000</v>
      </c>
    </row>
    <row r="17" customFormat="false" ht="15" hidden="false" customHeight="false" outlineLevel="0" collapsed="false">
      <c r="A17" s="38" t="s">
        <v>172</v>
      </c>
    </row>
    <row r="19" customFormat="false" ht="15" hidden="false" customHeight="false" outlineLevel="0" collapsed="false">
      <c r="A19" s="2" t="s">
        <v>173</v>
      </c>
      <c r="B19" s="15" t="n">
        <v>45</v>
      </c>
      <c r="C19" s="7" t="s">
        <v>162</v>
      </c>
    </row>
    <row r="20" customFormat="false" ht="15" hidden="false" customHeight="false" outlineLevel="0" collapsed="false">
      <c r="A20" s="2" t="s">
        <v>174</v>
      </c>
      <c r="B20" s="35" t="n">
        <f aca="false">Operations!B12-Operations!B13</f>
        <v>8.2</v>
      </c>
    </row>
    <row r="21" customFormat="false" ht="15" hidden="false" customHeight="false" outlineLevel="0" collapsed="false">
      <c r="A21" s="2" t="s">
        <v>175</v>
      </c>
      <c r="B21" s="40" t="n">
        <v>2</v>
      </c>
      <c r="C21" s="7" t="s">
        <v>162</v>
      </c>
    </row>
    <row r="23" customFormat="false" ht="15" hidden="false" customHeight="false" outlineLevel="0" collapsed="false">
      <c r="A23" s="38" t="s">
        <v>176</v>
      </c>
    </row>
    <row r="24" customFormat="false" ht="15" hidden="false" customHeight="false" outlineLevel="0" collapsed="false">
      <c r="A24" s="3" t="s">
        <v>177</v>
      </c>
      <c r="B24" s="20" t="n">
        <f aca="false">B5-B11</f>
        <v>135508</v>
      </c>
    </row>
    <row r="25" customFormat="false" ht="15" hidden="false" customHeight="false" outlineLevel="0" collapsed="false">
      <c r="A25" s="3" t="s">
        <v>178</v>
      </c>
      <c r="B25" s="20" t="n">
        <f aca="false">B24-B15</f>
        <v>85508</v>
      </c>
    </row>
    <row r="26" customFormat="false" ht="15" hidden="false" customHeight="false" outlineLevel="0" collapsed="false">
      <c r="A26" s="3" t="s">
        <v>179</v>
      </c>
      <c r="B26" s="11" t="n">
        <f aca="false">B25/(B11+B15)</f>
        <v>1.08678190137265</v>
      </c>
    </row>
    <row r="27" customFormat="false" ht="15" hidden="false" customHeight="false" outlineLevel="0" collapsed="false">
      <c r="A27" s="3" t="s">
        <v>180</v>
      </c>
      <c r="B27" s="27" t="n">
        <f aca="false">B15/(B24/12)</f>
        <v>4.42778286152847</v>
      </c>
    </row>
    <row r="28" customFormat="false" ht="15" hidden="false" customHeight="false" outlineLevel="0" collapsed="false">
      <c r="A28" s="3" t="s">
        <v>181</v>
      </c>
      <c r="B28" s="41" t="n">
        <f aca="false">B5/B11</f>
        <v>5.72482566248257</v>
      </c>
    </row>
    <row r="30" customFormat="false" ht="15" hidden="false" customHeight="false" outlineLevel="0" collapsed="false">
      <c r="A30" s="7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</cols>
  <sheetData>
    <row r="1" customFormat="false" ht="30" hidden="false" customHeight="true" outlineLevel="0" collapsed="false">
      <c r="A1" s="1" t="s">
        <v>183</v>
      </c>
      <c r="B1" s="1" t="s">
        <v>184</v>
      </c>
      <c r="C1" s="1" t="s">
        <v>185</v>
      </c>
      <c r="D1" s="1" t="s">
        <v>186</v>
      </c>
    </row>
    <row r="2" customFormat="false" ht="15" hidden="false" customHeight="false" outlineLevel="0" collapsed="false">
      <c r="A2" s="2" t="s">
        <v>187</v>
      </c>
      <c r="B2" s="28" t="n">
        <v>0.15</v>
      </c>
      <c r="C2" s="28" t="n">
        <v>0.25</v>
      </c>
      <c r="D2" s="42" t="n">
        <f aca="false">'Waste Cost'!B10</f>
        <v>0.377604166666667</v>
      </c>
    </row>
    <row r="3" customFormat="false" ht="15" hidden="false" customHeight="false" outlineLevel="0" collapsed="false">
      <c r="A3" s="2" t="s">
        <v>188</v>
      </c>
      <c r="B3" s="28" t="n">
        <v>0.8</v>
      </c>
      <c r="C3" s="28" t="n">
        <v>0.9</v>
      </c>
      <c r="D3" s="28" t="n">
        <v>1</v>
      </c>
    </row>
    <row r="4" customFormat="false" ht="15" hidden="false" customHeight="false" outlineLevel="0" collapsed="false">
      <c r="A4" s="2" t="s">
        <v>189</v>
      </c>
      <c r="B4" s="28" t="n">
        <v>1.25</v>
      </c>
      <c r="C4" s="28" t="n">
        <v>1</v>
      </c>
      <c r="D4" s="28" t="n">
        <v>1</v>
      </c>
    </row>
    <row r="5" customFormat="false" ht="15" hidden="false" customHeight="false" outlineLevel="0" collapsed="false">
      <c r="A5" s="2" t="s">
        <v>190</v>
      </c>
      <c r="B5" s="28" t="n">
        <v>1</v>
      </c>
      <c r="C5" s="28" t="n">
        <v>1</v>
      </c>
      <c r="D5" s="28" t="n">
        <v>1</v>
      </c>
    </row>
    <row r="7" customFormat="false" ht="15" hidden="false" customHeight="false" outlineLevel="0" collapsed="false">
      <c r="A7" s="38" t="s">
        <v>176</v>
      </c>
    </row>
    <row r="8" customFormat="false" ht="15" hidden="false" customHeight="false" outlineLevel="0" collapsed="false">
      <c r="A8" s="2" t="s">
        <v>191</v>
      </c>
      <c r="B8" s="14" t="n">
        <f aca="false">'Waste Cost'!$G$3*B5*B2*B3</f>
        <v>46080</v>
      </c>
      <c r="C8" s="14" t="n">
        <f aca="false">'Waste Cost'!$G$3*C5*C2*C3</f>
        <v>86400</v>
      </c>
      <c r="D8" s="14" t="n">
        <f aca="false">'Waste Cost'!$G$3*D5*D2*D3</f>
        <v>145000</v>
      </c>
    </row>
    <row r="9" customFormat="false" ht="15" hidden="false" customHeight="false" outlineLevel="0" collapsed="false">
      <c r="A9" s="2" t="s">
        <v>192</v>
      </c>
      <c r="B9" s="14" t="n">
        <f aca="false">Economics!$B$4*B3</f>
        <v>15350.4</v>
      </c>
      <c r="C9" s="14" t="n">
        <f aca="false">Economics!$B$4*C3</f>
        <v>17269.2</v>
      </c>
      <c r="D9" s="14" t="n">
        <f aca="false">Economics!$B$4*D3</f>
        <v>19188</v>
      </c>
    </row>
    <row r="10" customFormat="false" ht="15" hidden="false" customHeight="false" outlineLevel="0" collapsed="false">
      <c r="A10" s="2" t="s">
        <v>193</v>
      </c>
      <c r="B10" s="14" t="n">
        <f aca="false">B8+B9</f>
        <v>61430.4</v>
      </c>
      <c r="C10" s="14" t="n">
        <f aca="false">C8+C9</f>
        <v>103669.2</v>
      </c>
      <c r="D10" s="14" t="n">
        <f aca="false">D8+D9</f>
        <v>164188</v>
      </c>
    </row>
    <row r="11" customFormat="false" ht="15" hidden="false" customHeight="false" outlineLevel="0" collapsed="false">
      <c r="A11" s="2" t="s">
        <v>194</v>
      </c>
      <c r="B11" s="14" t="n">
        <f aca="false">Economics!$B$11*B4</f>
        <v>35850</v>
      </c>
      <c r="C11" s="14" t="n">
        <f aca="false">Economics!$B$11*C4</f>
        <v>28680</v>
      </c>
      <c r="D11" s="14" t="n">
        <f aca="false">Economics!$B$11*D4</f>
        <v>28680</v>
      </c>
    </row>
    <row r="12" customFormat="false" ht="15" hidden="false" customHeight="false" outlineLevel="0" collapsed="false">
      <c r="A12" s="8" t="s">
        <v>195</v>
      </c>
      <c r="B12" s="20" t="n">
        <f aca="false">B10-B11</f>
        <v>25580.4</v>
      </c>
      <c r="C12" s="20" t="n">
        <f aca="false">C10-C11</f>
        <v>74989.2</v>
      </c>
      <c r="D12" s="20" t="n">
        <f aca="false">D10-D11</f>
        <v>135508</v>
      </c>
    </row>
    <row r="13" customFormat="false" ht="15" hidden="false" customHeight="false" outlineLevel="0" collapsed="false">
      <c r="A13" s="8" t="s">
        <v>196</v>
      </c>
      <c r="B13" s="27" t="n">
        <f aca="false">Economics!$B$15/(B12/12)</f>
        <v>23.4554580850964</v>
      </c>
      <c r="C13" s="27" t="n">
        <f aca="false">Economics!$B$15/(C12/12)</f>
        <v>8.00115216591189</v>
      </c>
      <c r="D13" s="27" t="n">
        <f aca="false">Economics!$B$15/(D12/12)</f>
        <v>4.42778286152847</v>
      </c>
    </row>
    <row r="15" customFormat="false" ht="15" hidden="false" customHeight="false" outlineLevel="0" collapsed="false">
      <c r="A15" s="12" t="s">
        <v>197</v>
      </c>
      <c r="B15" s="12" t="s">
        <v>198</v>
      </c>
      <c r="C15" s="12" t="s">
        <v>199</v>
      </c>
      <c r="D15" s="12" t="s">
        <v>200</v>
      </c>
    </row>
    <row r="16" customFormat="false" ht="15" hidden="false" customHeight="false" outlineLevel="0" collapsed="false">
      <c r="A16" s="2" t="s">
        <v>201</v>
      </c>
      <c r="B16" s="14" t="n">
        <f aca="false">('Waste Cost'!$G$3*1*$B$2*$C$3+Economics!$B$4*$C$3-Economics!$B$11*1)</f>
        <v>40429.2</v>
      </c>
      <c r="C16" s="14" t="n">
        <f aca="false">('Waste Cost'!$G$3*1*$D$2*$C$3+Economics!$B$4*$C$3-Economics!$B$11*1)</f>
        <v>119089.2</v>
      </c>
      <c r="D16" s="14" t="n">
        <f aca="false">C16-B16</f>
        <v>78660</v>
      </c>
    </row>
    <row r="17" customFormat="false" ht="15" hidden="false" customHeight="false" outlineLevel="0" collapsed="false">
      <c r="A17" s="2" t="s">
        <v>202</v>
      </c>
      <c r="B17" s="14" t="n">
        <f aca="false">('Waste Cost'!$G$3*1*$C$2*0.7+Economics!$B$4*0.7-Economics!$B$11*1)</f>
        <v>51951.6</v>
      </c>
      <c r="C17" s="14" t="n">
        <f aca="false">('Waste Cost'!$G$3*1*$C$2*1+Economics!$B$4*1-Economics!$B$11*1)</f>
        <v>86508</v>
      </c>
      <c r="D17" s="14" t="n">
        <f aca="false">C17-B17</f>
        <v>34556.4</v>
      </c>
    </row>
    <row r="18" customFormat="false" ht="15" hidden="false" customHeight="false" outlineLevel="0" collapsed="false">
      <c r="A18" s="2" t="s">
        <v>203</v>
      </c>
      <c r="B18" s="14" t="n">
        <f aca="false">('Waste Cost'!$G$3*0.8*$C$2*$C$3+Economics!$B$4*$C$3-Economics!$B$11*1)</f>
        <v>57709.2</v>
      </c>
      <c r="C18" s="14" t="n">
        <f aca="false">('Waste Cost'!$G$3*1.2*$C$2*$C$3+Economics!$B$4*$C$3-Economics!$B$11*1)</f>
        <v>92269.2</v>
      </c>
      <c r="D18" s="14" t="n">
        <f aca="false">C18-B18</f>
        <v>34560</v>
      </c>
    </row>
    <row r="19" customFormat="false" ht="15" hidden="false" customHeight="false" outlineLevel="0" collapsed="false">
      <c r="A19" s="2" t="s">
        <v>204</v>
      </c>
      <c r="B19" s="14" t="n">
        <f aca="false">('Waste Cost'!$G$3*1*$C$2*$C$3+Economics!$B$4*$C$3-Economics!$B$11*1.5)</f>
        <v>60649.2</v>
      </c>
      <c r="C19" s="14" t="n">
        <f aca="false">('Waste Cost'!$G$3*1*$C$2*$C$3+Economics!$B$4*$C$3-Economics!$B$11*0.5)</f>
        <v>89329.2</v>
      </c>
      <c r="D19" s="14" t="n">
        <f aca="false">C19-B19</f>
        <v>28680</v>
      </c>
    </row>
    <row r="21" customFormat="false" ht="15" hidden="false" customHeight="false" outlineLevel="0" collapsed="false">
      <c r="A21" s="7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4E34"/>
    <pageSetUpPr fitToPage="true"/>
  </sheetPr>
  <dimension ref="A1:R10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8" min="3" style="0" width="15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52"/>
    <col collapsed="false" customWidth="true" hidden="false" outlineLevel="0" max="13" min="13" style="0" width="3"/>
    <col collapsed="false" customWidth="true" hidden="false" outlineLevel="0" max="15" min="14" style="0" width="11"/>
    <col collapsed="false" customWidth="true" hidden="false" outlineLevel="0" max="16" min="16" style="0" width="26"/>
    <col collapsed="false" customWidth="true" hidden="false" outlineLevel="0" max="17" min="17" style="0" width="44"/>
    <col collapsed="false" customWidth="true" hidden="false" outlineLevel="0" max="18" min="18" style="0" width="11"/>
  </cols>
  <sheetData>
    <row r="1" customFormat="false" ht="30" hidden="false" customHeight="true" outlineLevel="0" collapsed="false">
      <c r="A1" s="43" t="s">
        <v>206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customFormat="false" ht="15" hidden="false" customHeight="true" outlineLevel="0" collapsed="false">
      <c r="A2" s="44" t="s">
        <v>207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customFormat="false" ht="25.5" hidden="false" customHeight="true" outlineLevel="0" collapsed="false">
      <c r="A3" s="45" t="s">
        <v>208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customFormat="false" ht="30" hidden="false" customHeight="true" outlineLevel="0" collapsed="false">
      <c r="A4" s="46" t="s">
        <v>209</v>
      </c>
      <c r="B4" s="47" t="s">
        <v>17</v>
      </c>
      <c r="C4" s="48" t="s">
        <v>210</v>
      </c>
      <c r="D4" s="48"/>
      <c r="E4" s="48"/>
      <c r="F4" s="48"/>
      <c r="G4" s="48"/>
      <c r="H4" s="48"/>
      <c r="I4" s="48"/>
      <c r="J4" s="48"/>
      <c r="K4" s="48"/>
      <c r="L4" s="48"/>
    </row>
    <row r="5" customFormat="false" ht="30" hidden="false" customHeight="true" outlineLevel="0" collapsed="false">
      <c r="A5" s="49" t="s">
        <v>211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7" customFormat="false" ht="24" hidden="false" customHeight="true" outlineLevel="0" collapsed="false">
      <c r="A7" s="50" t="s">
        <v>212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</row>
    <row r="8" customFormat="false" ht="30" hidden="false" customHeight="true" outlineLevel="0" collapsed="false">
      <c r="A8" s="51" t="s">
        <v>213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</row>
    <row r="9" customFormat="false" ht="30" hidden="false" customHeight="true" outlineLevel="0" collapsed="false">
      <c r="A9" s="52" t="s">
        <v>214</v>
      </c>
      <c r="B9" s="52" t="s">
        <v>215</v>
      </c>
      <c r="C9" s="52"/>
      <c r="D9" s="52"/>
      <c r="E9" s="52" t="s">
        <v>216</v>
      </c>
      <c r="F9" s="52"/>
      <c r="G9" s="52"/>
      <c r="H9" s="52"/>
      <c r="I9" s="52" t="s">
        <v>99</v>
      </c>
      <c r="J9" s="52" t="s">
        <v>217</v>
      </c>
      <c r="K9" s="52"/>
      <c r="L9" s="52"/>
    </row>
    <row r="10" customFormat="false" ht="36" hidden="false" customHeight="true" outlineLevel="0" collapsed="false">
      <c r="A10" s="53" t="s">
        <v>218</v>
      </c>
      <c r="B10" s="54" t="s">
        <v>219</v>
      </c>
      <c r="C10" s="54"/>
      <c r="D10" s="54"/>
      <c r="E10" s="55" t="s">
        <v>220</v>
      </c>
      <c r="F10" s="55"/>
      <c r="G10" s="55"/>
      <c r="H10" s="55"/>
      <c r="I10" s="56" t="str">
        <f aca="false">IF(COUNTIF(H23:H25,"OFF TRACK")&gt;0,"OFF TRACK",IF(COUNTIF(H23:H25,"AT RISK")&gt;0,"AT RISK","ON TRACK"))</f>
        <v>ON TRACK</v>
      </c>
      <c r="J10" s="57" t="s">
        <v>221</v>
      </c>
      <c r="K10" s="57"/>
      <c r="L10" s="57"/>
    </row>
    <row r="11" customFormat="false" ht="18" hidden="false" customHeight="true" outlineLevel="0" collapsed="false">
      <c r="B11" s="58" t="s">
        <v>222</v>
      </c>
      <c r="C11" s="58"/>
      <c r="D11" s="58"/>
    </row>
    <row r="12" customFormat="false" ht="36" hidden="false" customHeight="true" outlineLevel="0" collapsed="false">
      <c r="A12" s="53" t="s">
        <v>223</v>
      </c>
      <c r="B12" s="54" t="s">
        <v>224</v>
      </c>
      <c r="C12" s="54"/>
      <c r="D12" s="54"/>
      <c r="E12" s="55" t="s">
        <v>225</v>
      </c>
      <c r="F12" s="55"/>
      <c r="G12" s="55"/>
      <c r="H12" s="55"/>
      <c r="I12" s="56" t="str">
        <f aca="false">IF(COUNTIF(H26:H29,"OFF TRACK")&gt;0,"OFF TRACK",IF(COUNTIF(H26:H29,"AT RISK")&gt;0,"AT RISK","ON TRACK"))</f>
        <v>AT RISK</v>
      </c>
      <c r="J12" s="57" t="s">
        <v>226</v>
      </c>
      <c r="K12" s="57"/>
      <c r="L12" s="57"/>
    </row>
    <row r="13" customFormat="false" ht="18" hidden="false" customHeight="true" outlineLevel="0" collapsed="false">
      <c r="B13" s="58" t="s">
        <v>222</v>
      </c>
      <c r="C13" s="58"/>
      <c r="D13" s="58"/>
    </row>
    <row r="14" customFormat="false" ht="36" hidden="false" customHeight="true" outlineLevel="0" collapsed="false">
      <c r="A14" s="53" t="s">
        <v>227</v>
      </c>
      <c r="B14" s="54" t="s">
        <v>228</v>
      </c>
      <c r="C14" s="54"/>
      <c r="D14" s="54"/>
      <c r="E14" s="55" t="s">
        <v>229</v>
      </c>
      <c r="F14" s="55"/>
      <c r="G14" s="55"/>
      <c r="H14" s="55"/>
      <c r="I14" s="56" t="str">
        <f aca="false">IF(COUNTIF(H30:H32,"OFF TRACK")&gt;0,"OFF TRACK",IF(COUNTIF(H30:H32,"AT RISK")&gt;0,"AT RISK","ON TRACK"))</f>
        <v>ON TRACK</v>
      </c>
      <c r="J14" s="57" t="s">
        <v>230</v>
      </c>
      <c r="K14" s="57"/>
      <c r="L14" s="57"/>
    </row>
    <row r="15" customFormat="false" ht="18" hidden="false" customHeight="true" outlineLevel="0" collapsed="false">
      <c r="B15" s="58" t="s">
        <v>222</v>
      </c>
      <c r="C15" s="58"/>
      <c r="D15" s="58"/>
    </row>
    <row r="16" customFormat="false" ht="36" hidden="false" customHeight="true" outlineLevel="0" collapsed="false">
      <c r="A16" s="53" t="s">
        <v>231</v>
      </c>
      <c r="B16" s="54" t="s">
        <v>232</v>
      </c>
      <c r="C16" s="54"/>
      <c r="D16" s="54"/>
      <c r="E16" s="55" t="s">
        <v>233</v>
      </c>
      <c r="F16" s="55"/>
      <c r="G16" s="55"/>
      <c r="H16" s="55"/>
      <c r="I16" s="56" t="str">
        <f aca="false">IF(COUNTIF(H33:H36,"OFF TRACK")&gt;0,"OFF TRACK",IF(COUNTIF(H33:H36,"AT RISK")&gt;0,"AT RISK","ON TRACK"))</f>
        <v>ON TRACK</v>
      </c>
      <c r="J16" s="57" t="s">
        <v>234</v>
      </c>
      <c r="K16" s="57"/>
      <c r="L16" s="57"/>
    </row>
    <row r="17" customFormat="false" ht="36" hidden="false" customHeight="true" outlineLevel="0" collapsed="false">
      <c r="A17" s="59" t="s">
        <v>235</v>
      </c>
      <c r="B17" s="60" t="s">
        <v>236</v>
      </c>
      <c r="C17" s="60"/>
      <c r="D17" s="60"/>
      <c r="E17" s="55" t="s">
        <v>237</v>
      </c>
      <c r="F17" s="55"/>
      <c r="G17" s="55"/>
      <c r="H17" s="55"/>
      <c r="I17" s="56" t="str">
        <f aca="false">IF(COUNTIF(H37:H40,"OFF TRACK")&gt;0,"OFF TRACK",IF(COUNTIF(H37:H40,"AT RISK")&gt;0,"AT RISK","ON TRACK"))</f>
        <v>OFF TRACK</v>
      </c>
      <c r="J17" s="57" t="s">
        <v>238</v>
      </c>
      <c r="K17" s="57"/>
      <c r="L17" s="57"/>
    </row>
    <row r="18" customFormat="false" ht="27.75" hidden="false" customHeight="true" outlineLevel="0" collapsed="false">
      <c r="A18" s="61" t="s">
        <v>239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</row>
    <row r="20" customFormat="false" ht="24" hidden="false" customHeight="true" outlineLevel="0" collapsed="false">
      <c r="A20" s="50" t="s">
        <v>240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</row>
    <row r="21" customFormat="false" ht="30" hidden="false" customHeight="true" outlineLevel="0" collapsed="false">
      <c r="A21" s="51" t="str">
        <f aca="false">"Period: governance review week "&amp;$B$4&amp;" (cell B4). Weekly metrics read that week; pilot-level and financial metrics are fixed pilot results. Status and Required Action calculate automatically."</f>
        <v>Period: governance review week A6 (cell B4). Weekly metrics read that week; pilot-level and financial metrics are fixed pilot results. Status and Required Action calculate automatically.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N21" s="45" t="s">
        <v>241</v>
      </c>
      <c r="O21" s="45"/>
      <c r="P21" s="45"/>
      <c r="Q21" s="45"/>
      <c r="R21" s="45"/>
    </row>
    <row r="22" customFormat="false" ht="30" hidden="false" customHeight="true" outlineLevel="0" collapsed="false">
      <c r="A22" s="52" t="s">
        <v>215</v>
      </c>
      <c r="B22" s="52" t="s">
        <v>242</v>
      </c>
      <c r="C22" s="52" t="s">
        <v>4</v>
      </c>
      <c r="D22" s="52" t="s">
        <v>243</v>
      </c>
      <c r="E22" s="52" t="s">
        <v>98</v>
      </c>
      <c r="F22" s="52" t="s">
        <v>244</v>
      </c>
      <c r="G22" s="52" t="s">
        <v>245</v>
      </c>
      <c r="H22" s="52" t="s">
        <v>99</v>
      </c>
      <c r="I22" s="52" t="s">
        <v>246</v>
      </c>
      <c r="J22" s="52" t="s">
        <v>247</v>
      </c>
      <c r="K22" s="52" t="s">
        <v>248</v>
      </c>
      <c r="L22" s="52" t="s">
        <v>249</v>
      </c>
      <c r="N22" s="52" t="s">
        <v>250</v>
      </c>
      <c r="O22" s="52" t="s">
        <v>251</v>
      </c>
      <c r="P22" s="52" t="s">
        <v>252</v>
      </c>
      <c r="Q22" s="52" t="s">
        <v>253</v>
      </c>
      <c r="R22" s="52" t="s">
        <v>254</v>
      </c>
    </row>
    <row r="23" customFormat="false" ht="31.5" hidden="false" customHeight="true" outlineLevel="0" collapsed="false">
      <c r="A23" s="62" t="s">
        <v>219</v>
      </c>
      <c r="B23" s="63" t="s">
        <v>30</v>
      </c>
      <c r="C23" s="64" t="n">
        <f aca="false">'Forecast MAPE'!F2</f>
        <v>0.17775</v>
      </c>
      <c r="D23" s="64" t="n">
        <f aca="false">INDEX('Forecast MAPE'!$C$2:$C$13,MATCH($B$4,'Forecast MAPE'!$A$2:$A$13,0))</f>
        <v>0.085</v>
      </c>
      <c r="E23" s="65" t="n">
        <f aca="false">'Readiness Gate'!C7</f>
        <v>0.1</v>
      </c>
      <c r="F23" s="66" t="n">
        <f aca="false">IF(OR(D23="",E23=""),"—",D23-E23)</f>
        <v>-0.015</v>
      </c>
      <c r="G23" s="63" t="str">
        <f aca="false">IF(OR(C23="",D23=""),"—",IF(D23=C23,"► Flat",IF((N23="Higher")=(D23&gt;C23),"▲ Improving","▼ Worsening")))</f>
        <v>▲ Improving</v>
      </c>
      <c r="H23" s="56" t="str">
        <f aca="false">IF(D23="","—",IF(N23="Higher",IF(D23&gt;=E23,"ON TRACK",IF(D23&gt;=E23-O23,"AT RISK","OFF TRACK")),IF(D23&lt;=E23,"ON TRACK",IF(D23&lt;=E23+O23,"AT RISK","OFF TRACK"))))</f>
        <v>ON TRACK</v>
      </c>
      <c r="I23" s="63" t="s">
        <v>255</v>
      </c>
      <c r="J23" s="56" t="s">
        <v>256</v>
      </c>
      <c r="K23" s="63" t="s">
        <v>257</v>
      </c>
      <c r="L23" s="63" t="str">
        <f aca="false">IF(H23="ON TRACK","Continue — review "&amp;LOWER(J23),IF(A23="Earn Greater AI Autonomy","Hold Autonomy — "&amp;Q23,IF(A23="Create Sustainable Business Value","Adjust Initiative — "&amp;Q23,IF(H23="AT RISK","Investigate — "&amp;Q23,"Escalate — "&amp;Q23))))</f>
        <v>Continue — review weekly</v>
      </c>
      <c r="N23" s="67" t="s">
        <v>258</v>
      </c>
      <c r="O23" s="68" t="n">
        <v>0</v>
      </c>
      <c r="P23" s="69" t="s">
        <v>30</v>
      </c>
      <c r="Q23" s="70" t="s">
        <v>259</v>
      </c>
      <c r="R23" s="71" t="s">
        <v>260</v>
      </c>
    </row>
    <row r="24" customFormat="false" ht="31.5" hidden="false" customHeight="true" outlineLevel="0" collapsed="false">
      <c r="A24" s="72" t="s">
        <v>219</v>
      </c>
      <c r="B24" s="63" t="s">
        <v>74</v>
      </c>
      <c r="C24" s="64" t="n">
        <f aca="false">AgentOps!J2</f>
        <v>0.61</v>
      </c>
      <c r="D24" s="64" t="n">
        <f aca="false">INDEX(AgentOps!$J$2:$J$9,MATCH($B$4,AgentOps!$A$2:$A$9,0))</f>
        <v>0.833333333333333</v>
      </c>
      <c r="E24" s="73" t="n">
        <f aca="false">'Readiness Gate'!C2</f>
        <v>0.8</v>
      </c>
      <c r="F24" s="66" t="n">
        <f aca="false">IF(OR(D24="",E24=""),"—",D24-E24)</f>
        <v>0.0333333333333333</v>
      </c>
      <c r="G24" s="63" t="str">
        <f aca="false">IF(OR(C24="",D24=""),"—",IF(D24=C24,"► Flat",IF((N24="Higher")=(D24&gt;C24),"▲ Improving","▼ Worsening")))</f>
        <v>▲ Improving</v>
      </c>
      <c r="H24" s="56" t="str">
        <f aca="false">IF(D24="","—",IF(N24="Higher",IF(D24&gt;=E24,"ON TRACK",IF(D24&gt;=E24-O24,"AT RISK","OFF TRACK")),IF(D24&lt;=E24,"ON TRACK",IF(D24&lt;=E24+O24,"AT RISK","OFF TRACK"))))</f>
        <v>ON TRACK</v>
      </c>
      <c r="I24" s="63" t="s">
        <v>120</v>
      </c>
      <c r="J24" s="56" t="s">
        <v>256</v>
      </c>
      <c r="K24" s="63" t="s">
        <v>261</v>
      </c>
      <c r="L24" s="63" t="str">
        <f aca="false">IF(H24="ON TRACK","Continue — review "&amp;LOWER(J24),IF(A24="Earn Greater AI Autonomy","Hold Autonomy — "&amp;Q24,IF(A24="Create Sustainable Business Value","Adjust Initiative — "&amp;Q24,IF(H24="AT RISK","Investigate — "&amp;Q24,"Escalate — "&amp;Q24))))</f>
        <v>Continue — review weekly</v>
      </c>
      <c r="N24" s="67" t="s">
        <v>262</v>
      </c>
      <c r="O24" s="68" t="n">
        <v>0</v>
      </c>
      <c r="P24" s="69" t="s">
        <v>103</v>
      </c>
      <c r="Q24" s="70" t="s">
        <v>263</v>
      </c>
      <c r="R24" s="71" t="s">
        <v>260</v>
      </c>
    </row>
    <row r="25" customFormat="false" ht="31.5" hidden="false" customHeight="true" outlineLevel="0" collapsed="false">
      <c r="A25" s="72" t="s">
        <v>219</v>
      </c>
      <c r="B25" s="63" t="s">
        <v>264</v>
      </c>
      <c r="C25" s="74"/>
      <c r="D25" s="64" t="n">
        <f aca="false">'Control Room'!C10</f>
        <v>0.978</v>
      </c>
      <c r="E25" s="75" t="n">
        <v>0.95</v>
      </c>
      <c r="F25" s="66" t="n">
        <f aca="false">IF(OR(D25="",E25=""),"—",D25-E25)</f>
        <v>0.028</v>
      </c>
      <c r="G25" s="63" t="str">
        <f aca="false">IF(OR(C25="",D25=""),"—",IF(D25=C25,"► Flat",IF((N25="Higher")=(D25&gt;C25),"▲ Improving","▼ Worsening")))</f>
        <v>—</v>
      </c>
      <c r="H25" s="56" t="str">
        <f aca="false">IF(D25="","—",IF(N25="Higher",IF(D25&gt;=E25,"ON TRACK",IF(D25&gt;=E25-O25,"AT RISK","OFF TRACK")),IF(D25&lt;=E25,"ON TRACK",IF(D25&lt;=E25+O25,"AT RISK","OFF TRACK"))))</f>
        <v>ON TRACK</v>
      </c>
      <c r="I25" s="63" t="s">
        <v>265</v>
      </c>
      <c r="J25" s="56" t="s">
        <v>266</v>
      </c>
      <c r="K25" s="63" t="s">
        <v>267</v>
      </c>
      <c r="L25" s="63" t="str">
        <f aca="false">IF(H25="ON TRACK","Continue — review "&amp;LOWER(J25),IF(A25="Earn Greater AI Autonomy","Hold Autonomy — "&amp;Q25,IF(A25="Create Sustainable Business Value","Adjust Initiative — "&amp;Q25,IF(H25="AT RISK","Investigate — "&amp;Q25,"Escalate — "&amp;Q25))))</f>
        <v>Continue — review daily</v>
      </c>
      <c r="N25" s="67" t="s">
        <v>262</v>
      </c>
      <c r="O25" s="68" t="n">
        <v>0</v>
      </c>
      <c r="P25" s="69" t="s">
        <v>268</v>
      </c>
      <c r="Q25" s="70" t="s">
        <v>269</v>
      </c>
      <c r="R25" s="71" t="s">
        <v>260</v>
      </c>
    </row>
    <row r="26" customFormat="false" ht="31.5" hidden="false" customHeight="true" outlineLevel="0" collapsed="false">
      <c r="A26" s="62" t="s">
        <v>224</v>
      </c>
      <c r="B26" s="63" t="s">
        <v>270</v>
      </c>
      <c r="C26" s="76" t="n">
        <f aca="false">'Weekly Waste'!F2</f>
        <v>488.5</v>
      </c>
      <c r="D26" s="76" t="n">
        <f aca="false">INDEX('Weekly Waste'!$C$2:$C$13,MATCH($B$4,'Weekly Waste'!$A$2:$A$13,0))</f>
        <v>310</v>
      </c>
      <c r="E26" s="77" t="n">
        <f aca="false">ROUND(C26*(1+$E$47),0)</f>
        <v>342</v>
      </c>
      <c r="F26" s="78" t="n">
        <f aca="false">IF(OR(D26="",E26=""),"—",D26-E26)</f>
        <v>-32</v>
      </c>
      <c r="G26" s="63" t="str">
        <f aca="false">IF(OR(C26="",D26=""),"—",IF(D26=C26,"► Flat",IF((N26="Higher")=(D26&gt;C26),"▲ Improving","▼ Worsening")))</f>
        <v>▲ Improving</v>
      </c>
      <c r="H26" s="56" t="str">
        <f aca="false">IF(D26="","—",IF(N26="Higher",IF(D26&gt;=E26,"ON TRACK",IF(D26&gt;=E26-O26,"AT RISK","OFF TRACK")),IF(D26&lt;=E26,"ON TRACK",IF(D26&lt;=E26+O26,"AT RISK","OFF TRACK"))))</f>
        <v>ON TRACK</v>
      </c>
      <c r="I26" s="63" t="s">
        <v>271</v>
      </c>
      <c r="J26" s="56" t="s">
        <v>256</v>
      </c>
      <c r="K26" s="63" t="s">
        <v>272</v>
      </c>
      <c r="L26" s="63" t="str">
        <f aca="false">IF(H26="ON TRACK","Continue — review "&amp;LOWER(J26),IF(A26="Earn Greater AI Autonomy","Hold Autonomy — "&amp;Q26,IF(A26="Create Sustainable Business Value","Adjust Initiative — "&amp;Q26,IF(H26="AT RISK","Investigate — "&amp;Q26,"Escalate — "&amp;Q26))))</f>
        <v>Continue — review weekly</v>
      </c>
      <c r="N26" s="67" t="s">
        <v>258</v>
      </c>
      <c r="O26" s="79" t="n">
        <v>25</v>
      </c>
      <c r="P26" s="69" t="s">
        <v>116</v>
      </c>
      <c r="Q26" s="70" t="s">
        <v>273</v>
      </c>
      <c r="R26" s="71" t="s">
        <v>274</v>
      </c>
    </row>
    <row r="27" customFormat="false" ht="31.5" hidden="false" customHeight="true" outlineLevel="0" collapsed="false">
      <c r="A27" s="72" t="s">
        <v>224</v>
      </c>
      <c r="B27" s="63" t="s">
        <v>275</v>
      </c>
      <c r="C27" s="76" t="n">
        <f aca="false">'Waste by Source'!B2</f>
        <v>215</v>
      </c>
      <c r="D27" s="76" t="n">
        <f aca="false">'Waste by Source'!C2</f>
        <v>103</v>
      </c>
      <c r="E27" s="80" t="n">
        <v>120</v>
      </c>
      <c r="F27" s="78" t="n">
        <f aca="false">IF(OR(D27="",E27=""),"—",D27-E27)</f>
        <v>-17</v>
      </c>
      <c r="G27" s="63" t="str">
        <f aca="false">IF(OR(C27="",D27=""),"—",IF(D27=C27,"► Flat",IF((N27="Higher")=(D27&gt;C27),"▲ Improving","▼ Worsening")))</f>
        <v>▲ Improving</v>
      </c>
      <c r="H27" s="56" t="str">
        <f aca="false">IF(D27="","—",IF(N27="Higher",IF(D27&gt;=E27,"ON TRACK",IF(D27&gt;=E27-O27,"AT RISK","OFF TRACK")),IF(D27&lt;=E27,"ON TRACK",IF(D27&lt;=E27+O27,"AT RISK","OFF TRACK"))))</f>
        <v>ON TRACK</v>
      </c>
      <c r="I27" s="63" t="s">
        <v>120</v>
      </c>
      <c r="J27" s="56" t="s">
        <v>256</v>
      </c>
      <c r="K27" s="63" t="s">
        <v>261</v>
      </c>
      <c r="L27" s="63" t="str">
        <f aca="false">IF(H27="ON TRACK","Continue — review "&amp;LOWER(J27),IF(A27="Earn Greater AI Autonomy","Hold Autonomy — "&amp;Q27,IF(A27="Create Sustainable Business Value","Adjust Initiative — "&amp;Q27,IF(H27="AT RISK","Investigate — "&amp;Q27,"Escalate — "&amp;Q27))))</f>
        <v>Continue — review weekly</v>
      </c>
      <c r="N27" s="67" t="s">
        <v>258</v>
      </c>
      <c r="O27" s="79" t="n">
        <v>10</v>
      </c>
      <c r="P27" s="69" t="s">
        <v>276</v>
      </c>
      <c r="Q27" s="70" t="s">
        <v>277</v>
      </c>
      <c r="R27" s="71" t="s">
        <v>274</v>
      </c>
    </row>
    <row r="28" customFormat="false" ht="31.5" hidden="false" customHeight="true" outlineLevel="0" collapsed="false">
      <c r="A28" s="72" t="s">
        <v>224</v>
      </c>
      <c r="B28" s="63" t="s">
        <v>278</v>
      </c>
      <c r="C28" s="81" t="n">
        <f aca="false">'Guest Experience'!D15</f>
        <v>0.16375</v>
      </c>
      <c r="D28" s="81" t="n">
        <f aca="false">INDEX('Guest Experience'!$C$2:$C$13,MATCH($B$4,'Guest Experience'!$A$2:$A$13,0))</f>
        <v>0.104</v>
      </c>
      <c r="E28" s="82" t="n">
        <v>0.115</v>
      </c>
      <c r="F28" s="83" t="n">
        <f aca="false">IF(OR(D28="",E28=""),"—",D28-E28)</f>
        <v>-0.011</v>
      </c>
      <c r="G28" s="63" t="str">
        <f aca="false">IF(OR(C28="",D28=""),"—",IF(D28=C28,"► Flat",IF((N28="Higher")=(D28&gt;C28),"▲ Improving","▼ Worsening")))</f>
        <v>▲ Improving</v>
      </c>
      <c r="H28" s="56" t="str">
        <f aca="false">IF(D28="","—",IF(N28="Higher",IF(D28&gt;=E28,"ON TRACK",IF(D28&gt;=E28-O28,"AT RISK","OFF TRACK")),IF(D28&lt;=E28,"ON TRACK",IF(D28&lt;=E28+O28,"AT RISK","OFF TRACK"))))</f>
        <v>ON TRACK</v>
      </c>
      <c r="I28" s="63" t="s">
        <v>271</v>
      </c>
      <c r="J28" s="56" t="s">
        <v>256</v>
      </c>
      <c r="K28" s="63" t="s">
        <v>272</v>
      </c>
      <c r="L28" s="63" t="str">
        <f aca="false">IF(H28="ON TRACK","Continue — review "&amp;LOWER(J28),IF(A28="Earn Greater AI Autonomy","Hold Autonomy — "&amp;Q28,IF(A28="Create Sustainable Business Value","Adjust Initiative — "&amp;Q28,IF(H28="AT RISK","Investigate — "&amp;Q28,"Escalate — "&amp;Q28))))</f>
        <v>Continue — review weekly</v>
      </c>
      <c r="N28" s="67" t="s">
        <v>258</v>
      </c>
      <c r="O28" s="84" t="n">
        <v>0.01</v>
      </c>
      <c r="P28" s="69" t="s">
        <v>121</v>
      </c>
      <c r="Q28" s="70" t="s">
        <v>279</v>
      </c>
      <c r="R28" s="71" t="s">
        <v>280</v>
      </c>
    </row>
    <row r="29" customFormat="false" ht="31.5" hidden="false" customHeight="true" outlineLevel="0" collapsed="false">
      <c r="A29" s="72" t="s">
        <v>224</v>
      </c>
      <c r="B29" s="63" t="s">
        <v>119</v>
      </c>
      <c r="C29" s="85" t="n">
        <v>0</v>
      </c>
      <c r="D29" s="86" t="n">
        <f aca="false">Operations!$B$2-INDEX(Operations!$B$2:$B$10,MATCH($B$4,Operations!$A$2:$A$10,0))</f>
        <v>7.1</v>
      </c>
      <c r="E29" s="87" t="n">
        <v>8</v>
      </c>
      <c r="F29" s="88" t="n">
        <f aca="false">IF(OR(D29="",E29=""),"—",D29-E29)</f>
        <v>-0.9</v>
      </c>
      <c r="G29" s="63" t="str">
        <f aca="false">IF(OR(C29="",D29=""),"—",IF(D29=C29,"► Flat",IF((N29="Higher")=(D29&gt;C29),"▲ Improving","▼ Worsening")))</f>
        <v>▲ Improving</v>
      </c>
      <c r="H29" s="56" t="str">
        <f aca="false">IF(D29="","—",IF(N29="Higher",IF(D29&gt;=E29,"ON TRACK",IF(D29&gt;=E29-O29,"AT RISK","OFF TRACK")),IF(D29&lt;=E29,"ON TRACK",IF(D29&lt;=E29+O29,"AT RISK","OFF TRACK"))))</f>
        <v>AT RISK</v>
      </c>
      <c r="I29" s="63" t="s">
        <v>120</v>
      </c>
      <c r="J29" s="56" t="s">
        <v>281</v>
      </c>
      <c r="K29" s="63" t="s">
        <v>261</v>
      </c>
      <c r="L29" s="63" t="str">
        <f aca="false">IF(H29="ON TRACK","Continue — review "&amp;LOWER(J29),IF(A29="Earn Greater AI Autonomy","Hold Autonomy — "&amp;Q29,IF(A29="Create Sustainable Business Value","Adjust Initiative — "&amp;Q29,IF(H29="AT RISK","Investigate — "&amp;Q29,"Escalate — "&amp;Q29))))</f>
        <v>Investigate — remove manual re-work from the approval flow</v>
      </c>
      <c r="N29" s="67" t="s">
        <v>262</v>
      </c>
      <c r="O29" s="85" t="n">
        <v>1.5</v>
      </c>
      <c r="P29" s="69" t="s">
        <v>120</v>
      </c>
      <c r="Q29" s="70" t="s">
        <v>282</v>
      </c>
      <c r="R29" s="71" t="s">
        <v>283</v>
      </c>
    </row>
    <row r="30" customFormat="false" ht="31.5" hidden="false" customHeight="true" outlineLevel="0" collapsed="false">
      <c r="A30" s="62" t="s">
        <v>228</v>
      </c>
      <c r="B30" s="63" t="s">
        <v>48</v>
      </c>
      <c r="C30" s="89" t="n">
        <f aca="false">'Guest Experience'!D2</f>
        <v>4.61</v>
      </c>
      <c r="D30" s="89" t="n">
        <f aca="false">INDEX('Guest Experience'!$D$2:$D$13,MATCH($B$4,'Guest Experience'!$A$2:$A$13,0))</f>
        <v>4.65</v>
      </c>
      <c r="E30" s="90" t="n">
        <f aca="false">'Readiness Gate'!C8</f>
        <v>4.6</v>
      </c>
      <c r="F30" s="91" t="n">
        <f aca="false">IF(OR(D30="",E30=""),"—",D30-E30)</f>
        <v>0.0500000000000007</v>
      </c>
      <c r="G30" s="63" t="str">
        <f aca="false">IF(OR(C30="",D30=""),"—",IF(D30=C30,"► Flat",IF((N30="Higher")=(D30&gt;C30),"▲ Improving","▼ Worsening")))</f>
        <v>▲ Improving</v>
      </c>
      <c r="H30" s="56" t="str">
        <f aca="false">IF(D30="","—",IF(N30="Higher",IF(D30&gt;=E30,"ON TRACK",IF(D30&gt;=E30-O30,"AT RISK","OFF TRACK")),IF(D30&lt;=E30,"ON TRACK",IF(D30&lt;=E30+O30,"AT RISK","OFF TRACK"))))</f>
        <v>ON TRACK</v>
      </c>
      <c r="I30" s="63" t="s">
        <v>271</v>
      </c>
      <c r="J30" s="56" t="s">
        <v>256</v>
      </c>
      <c r="K30" s="63" t="s">
        <v>284</v>
      </c>
      <c r="L30" s="63" t="str">
        <f aca="false">IF(H30="ON TRACK","Continue — review "&amp;LOWER(J30),IF(A30="Earn Greater AI Autonomy","Hold Autonomy — "&amp;Q30,IF(A30="Create Sustainable Business Value","Adjust Initiative — "&amp;Q30,IF(H30="AT RISK","Investigate — "&amp;Q30,"Escalate — "&amp;Q30))))</f>
        <v>Continue — review weekly</v>
      </c>
      <c r="N30" s="67" t="s">
        <v>262</v>
      </c>
      <c r="O30" s="92" t="n">
        <v>0</v>
      </c>
      <c r="P30" s="69" t="s">
        <v>121</v>
      </c>
      <c r="Q30" s="70" t="s">
        <v>285</v>
      </c>
      <c r="R30" s="71" t="s">
        <v>286</v>
      </c>
    </row>
    <row r="31" customFormat="false" ht="31.5" hidden="false" customHeight="true" outlineLevel="0" collapsed="false">
      <c r="A31" s="72" t="s">
        <v>228</v>
      </c>
      <c r="B31" s="63" t="s">
        <v>287</v>
      </c>
      <c r="C31" s="93"/>
      <c r="D31" s="94" t="n">
        <f aca="false">SUMPRODUCT(('Guest Experience'!$D$6:$D$13&gt;=$E$30)*(ROW('Guest Experience'!$D$6:$D$13)-5&lt;=MATCH($B$4,'Guest Experience'!$A$6:$A$13,0)))/MATCH($B$4,'Guest Experience'!$A$6:$A$13,0)</f>
        <v>1</v>
      </c>
      <c r="E31" s="95" t="n">
        <v>1</v>
      </c>
      <c r="F31" s="96" t="n">
        <f aca="false">IF(OR(D31="",E31=""),"—",D31-E31)</f>
        <v>0</v>
      </c>
      <c r="G31" s="63" t="str">
        <f aca="false">IF(OR(C31="",D31=""),"—",IF(D31=C31,"► Flat",IF((N31="Higher")=(D31&gt;C31),"▲ Improving","▼ Worsening")))</f>
        <v>—</v>
      </c>
      <c r="H31" s="56" t="str">
        <f aca="false">IF(D31="","—",IF(N31="Higher",IF(D31&gt;=E31,"ON TRACK",IF(D31&gt;=E31-O31,"AT RISK","OFF TRACK")),IF(D31&lt;=E31,"ON TRACK",IF(D31&lt;=E31+O31,"AT RISK","OFF TRACK"))))</f>
        <v>ON TRACK</v>
      </c>
      <c r="I31" s="63" t="s">
        <v>288</v>
      </c>
      <c r="J31" s="56" t="s">
        <v>256</v>
      </c>
      <c r="K31" s="63" t="s">
        <v>284</v>
      </c>
      <c r="L31" s="63" t="str">
        <f aca="false">IF(H31="ON TRACK","Continue — review "&amp;LOWER(J31),IF(A31="Earn Greater AI Autonomy","Hold Autonomy — "&amp;Q31,IF(A31="Create Sustainable Business Value","Adjust Initiative — "&amp;Q31,IF(H31="AT RISK","Investigate — "&amp;Q31,"Escalate — "&amp;Q31))))</f>
        <v>Continue — review weekly</v>
      </c>
      <c r="N31" s="67" t="s">
        <v>262</v>
      </c>
      <c r="O31" s="97" t="n">
        <v>0</v>
      </c>
      <c r="P31" s="69" t="s">
        <v>121</v>
      </c>
      <c r="Q31" s="70" t="s">
        <v>289</v>
      </c>
      <c r="R31" s="71" t="s">
        <v>290</v>
      </c>
    </row>
    <row r="32" customFormat="false" ht="31.5" hidden="false" customHeight="true" outlineLevel="0" collapsed="false">
      <c r="A32" s="72" t="s">
        <v>228</v>
      </c>
      <c r="B32" s="63" t="s">
        <v>291</v>
      </c>
      <c r="C32" s="98" t="n">
        <v>5</v>
      </c>
      <c r="D32" s="98" t="n">
        <v>2</v>
      </c>
      <c r="E32" s="99" t="n">
        <v>3</v>
      </c>
      <c r="F32" s="100" t="n">
        <f aca="false">IF(OR(D32="",E32=""),"—",D32-E32)</f>
        <v>-1</v>
      </c>
      <c r="G32" s="63" t="str">
        <f aca="false">IF(OR(C32="",D32=""),"—",IF(D32=C32,"► Flat",IF((N32="Higher")=(D32&gt;C32),"▲ Improving","▼ Worsening")))</f>
        <v>▲ Improving</v>
      </c>
      <c r="H32" s="56" t="str">
        <f aca="false">IF(D32="","—",IF(N32="Higher",IF(D32&gt;=E32,"ON TRACK",IF(D32&gt;=E32-O32,"AT RISK","OFF TRACK")),IF(D32&lt;=E32,"ON TRACK",IF(D32&lt;=E32+O32,"AT RISK","OFF TRACK"))))</f>
        <v>ON TRACK</v>
      </c>
      <c r="I32" s="63" t="s">
        <v>120</v>
      </c>
      <c r="J32" s="56" t="s">
        <v>256</v>
      </c>
      <c r="K32" s="63" t="s">
        <v>267</v>
      </c>
      <c r="L32" s="63" t="str">
        <f aca="false">IF(H32="ON TRACK","Continue — review "&amp;LOWER(J32),IF(A32="Earn Greater AI Autonomy","Hold Autonomy — "&amp;Q32,IF(A32="Create Sustainable Business Value","Adjust Initiative — "&amp;Q32,IF(H32="AT RISK","Investigate — "&amp;Q32,"Escalate — "&amp;Q32))))</f>
        <v>Continue — review weekly</v>
      </c>
      <c r="N32" s="67" t="s">
        <v>258</v>
      </c>
      <c r="O32" s="98" t="n">
        <v>1</v>
      </c>
      <c r="P32" s="69" t="s">
        <v>292</v>
      </c>
      <c r="Q32" s="70" t="s">
        <v>293</v>
      </c>
      <c r="R32" s="71" t="s">
        <v>294</v>
      </c>
    </row>
    <row r="33" customFormat="false" ht="31.5" hidden="false" customHeight="true" outlineLevel="0" collapsed="false">
      <c r="A33" s="62" t="s">
        <v>232</v>
      </c>
      <c r="B33" s="63" t="s">
        <v>295</v>
      </c>
      <c r="C33" s="101"/>
      <c r="D33" s="102" t="n">
        <f aca="false">'Waste Cost'!B9</f>
        <v>145000</v>
      </c>
      <c r="E33" s="103" t="n">
        <v>100000</v>
      </c>
      <c r="F33" s="104" t="n">
        <f aca="false">IF(OR(D33="",E33=""),"—",D33-E33)</f>
        <v>45000</v>
      </c>
      <c r="G33" s="63" t="str">
        <f aca="false">IF(OR(C33="",D33=""),"—",IF(D33=C33,"► Flat",IF((N33="Higher")=(D33&gt;C33),"▲ Improving","▼ Worsening")))</f>
        <v>—</v>
      </c>
      <c r="H33" s="56" t="str">
        <f aca="false">IF(D33="","—",IF(N33="Higher",IF(D33&gt;=E33,"ON TRACK",IF(D33&gt;=E33-O33,"AT RISK","OFF TRACK")),IF(D33&lt;=E33,"ON TRACK",IF(D33&lt;=E33+O33,"AT RISK","OFF TRACK"))))</f>
        <v>ON TRACK</v>
      </c>
      <c r="I33" s="63" t="s">
        <v>271</v>
      </c>
      <c r="J33" s="56" t="s">
        <v>296</v>
      </c>
      <c r="K33" s="63" t="s">
        <v>297</v>
      </c>
      <c r="L33" s="63" t="str">
        <f aca="false">IF(H33="ON TRACK","Continue — review "&amp;LOWER(J33),IF(A33="Earn Greater AI Autonomy","Hold Autonomy — "&amp;Q33,IF(A33="Create Sustainable Business Value","Adjust Initiative — "&amp;Q33,IF(H33="AT RISK","Investigate — "&amp;Q33,"Escalate — "&amp;Q33))))</f>
        <v>Continue — review quarterly</v>
      </c>
      <c r="N33" s="67" t="s">
        <v>262</v>
      </c>
      <c r="O33" s="105" t="n">
        <v>20000</v>
      </c>
      <c r="P33" s="69" t="s">
        <v>118</v>
      </c>
      <c r="Q33" s="70" t="s">
        <v>298</v>
      </c>
      <c r="R33" s="71" t="s">
        <v>299</v>
      </c>
    </row>
    <row r="34" customFormat="false" ht="31.5" hidden="false" customHeight="true" outlineLevel="0" collapsed="false">
      <c r="A34" s="72" t="s">
        <v>232</v>
      </c>
      <c r="B34" s="63" t="s">
        <v>300</v>
      </c>
      <c r="C34" s="101"/>
      <c r="D34" s="102" t="n">
        <f aca="false">Economics!B24</f>
        <v>135508</v>
      </c>
      <c r="E34" s="106" t="n">
        <f aca="false">Sensitivity!C12</f>
        <v>74989.2</v>
      </c>
      <c r="F34" s="104" t="n">
        <f aca="false">IF(OR(D34="",E34=""),"—",D34-E34)</f>
        <v>60518.8</v>
      </c>
      <c r="G34" s="63" t="str">
        <f aca="false">IF(OR(C34="",D34=""),"—",IF(D34=C34,"► Flat",IF((N34="Higher")=(D34&gt;C34),"▲ Improving","▼ Worsening")))</f>
        <v>—</v>
      </c>
      <c r="H34" s="56" t="str">
        <f aca="false">IF(D34="","—",IF(N34="Higher",IF(D34&gt;=E34,"ON TRACK",IF(D34&gt;=E34-O34,"AT RISK","OFF TRACK")),IF(D34&lt;=E34,"ON TRACK",IF(D34&lt;=E34+O34,"AT RISK","OFF TRACK"))))</f>
        <v>ON TRACK</v>
      </c>
      <c r="I34" s="63" t="s">
        <v>271</v>
      </c>
      <c r="J34" s="56" t="s">
        <v>296</v>
      </c>
      <c r="K34" s="63" t="s">
        <v>297</v>
      </c>
      <c r="L34" s="63" t="str">
        <f aca="false">IF(H34="ON TRACK","Continue — review "&amp;LOWER(J34),IF(A34="Earn Greater AI Autonomy","Hold Autonomy — "&amp;Q34,IF(A34="Create Sustainable Business Value","Adjust Initiative — "&amp;Q34,IF(H34="AT RISK","Investigate — "&amp;Q34,"Escalate — "&amp;Q34))))</f>
        <v>Continue — review quarterly</v>
      </c>
      <c r="N34" s="67" t="s">
        <v>262</v>
      </c>
      <c r="O34" s="105" t="n">
        <v>15000</v>
      </c>
      <c r="P34" s="69" t="s">
        <v>301</v>
      </c>
      <c r="Q34" s="70" t="s">
        <v>302</v>
      </c>
      <c r="R34" s="71" t="s">
        <v>299</v>
      </c>
    </row>
    <row r="35" customFormat="false" ht="31.5" hidden="false" customHeight="true" outlineLevel="0" collapsed="false">
      <c r="A35" s="72" t="s">
        <v>232</v>
      </c>
      <c r="B35" s="63" t="s">
        <v>179</v>
      </c>
      <c r="C35" s="93"/>
      <c r="D35" s="94" t="n">
        <f aca="false">Economics!B26</f>
        <v>1.08678190137265</v>
      </c>
      <c r="E35" s="95" t="n">
        <v>0.5</v>
      </c>
      <c r="F35" s="96" t="n">
        <f aca="false">IF(OR(D35="",E35=""),"—",D35-E35)</f>
        <v>0.586781901372649</v>
      </c>
      <c r="G35" s="63" t="str">
        <f aca="false">IF(OR(C35="",D35=""),"—",IF(D35=C35,"► Flat",IF((N35="Higher")=(D35&gt;C35),"▲ Improving","▼ Worsening")))</f>
        <v>—</v>
      </c>
      <c r="H35" s="56" t="str">
        <f aca="false">IF(D35="","—",IF(N35="Higher",IF(D35&gt;=E35,"ON TRACK",IF(D35&gt;=E35-O35,"AT RISK","OFF TRACK")),IF(D35&lt;=E35,"ON TRACK",IF(D35&lt;=E35+O35,"AT RISK","OFF TRACK"))))</f>
        <v>ON TRACK</v>
      </c>
      <c r="I35" s="63" t="s">
        <v>271</v>
      </c>
      <c r="J35" s="56" t="s">
        <v>296</v>
      </c>
      <c r="K35" s="63" t="s">
        <v>297</v>
      </c>
      <c r="L35" s="63" t="str">
        <f aca="false">IF(H35="ON TRACK","Continue — review "&amp;LOWER(J35),IF(A35="Earn Greater AI Autonomy","Hold Autonomy — "&amp;Q35,IF(A35="Create Sustainable Business Value","Adjust Initiative — "&amp;Q35,IF(H35="AT RISK","Investigate — "&amp;Q35,"Escalate — "&amp;Q35))))</f>
        <v>Continue — review quarterly</v>
      </c>
      <c r="N35" s="67" t="s">
        <v>262</v>
      </c>
      <c r="O35" s="97" t="n">
        <v>0.25</v>
      </c>
      <c r="P35" s="69" t="s">
        <v>303</v>
      </c>
      <c r="Q35" s="70" t="s">
        <v>304</v>
      </c>
      <c r="R35" s="71" t="s">
        <v>290</v>
      </c>
    </row>
    <row r="36" customFormat="false" ht="31.5" hidden="false" customHeight="true" outlineLevel="0" collapsed="false">
      <c r="A36" s="72" t="s">
        <v>232</v>
      </c>
      <c r="B36" s="63" t="s">
        <v>196</v>
      </c>
      <c r="C36" s="107"/>
      <c r="D36" s="86" t="n">
        <f aca="false">Economics!B27</f>
        <v>4.42778286152847</v>
      </c>
      <c r="E36" s="108" t="n">
        <v>12</v>
      </c>
      <c r="F36" s="88" t="n">
        <f aca="false">IF(OR(D36="",E36=""),"—",D36-E36)</f>
        <v>-7.57221713847153</v>
      </c>
      <c r="G36" s="63" t="str">
        <f aca="false">IF(OR(C36="",D36=""),"—",IF(D36=C36,"► Flat",IF((N36="Higher")=(D36&gt;C36),"▲ Improving","▼ Worsening")))</f>
        <v>—</v>
      </c>
      <c r="H36" s="56" t="str">
        <f aca="false">IF(D36="","—",IF(N36="Higher",IF(D36&gt;=E36,"ON TRACK",IF(D36&gt;=E36-O36,"AT RISK","OFF TRACK")),IF(D36&lt;=E36,"ON TRACK",IF(D36&lt;=E36+O36,"AT RISK","OFF TRACK"))))</f>
        <v>ON TRACK</v>
      </c>
      <c r="I36" s="63" t="s">
        <v>271</v>
      </c>
      <c r="J36" s="56" t="s">
        <v>296</v>
      </c>
      <c r="K36" s="63" t="s">
        <v>297</v>
      </c>
      <c r="L36" s="63" t="str">
        <f aca="false">IF(H36="ON TRACK","Continue — review "&amp;LOWER(J36),IF(A36="Earn Greater AI Autonomy","Hold Autonomy — "&amp;Q36,IF(A36="Create Sustainable Business Value","Adjust Initiative — "&amp;Q36,IF(H36="AT RISK","Investigate — "&amp;Q36,"Escalate — "&amp;Q36))))</f>
        <v>Continue — review quarterly</v>
      </c>
      <c r="N36" s="67" t="s">
        <v>258</v>
      </c>
      <c r="O36" s="85" t="n">
        <v>6</v>
      </c>
      <c r="P36" s="69" t="s">
        <v>303</v>
      </c>
      <c r="Q36" s="70" t="s">
        <v>304</v>
      </c>
      <c r="R36" s="71" t="s">
        <v>283</v>
      </c>
    </row>
    <row r="37" customFormat="false" ht="31.5" hidden="false" customHeight="true" outlineLevel="0" collapsed="false">
      <c r="A37" s="62" t="s">
        <v>236</v>
      </c>
      <c r="B37" s="63" t="s">
        <v>305</v>
      </c>
      <c r="C37" s="64" t="n">
        <f aca="false">AgentOps!N2</f>
        <v>0.967307692307692</v>
      </c>
      <c r="D37" s="64" t="n">
        <f aca="false">INDEX(AgentOps!$N$2:$N$9,MATCH($B$4,AgentOps!$A$2:$A$9,0))</f>
        <v>0.9890625</v>
      </c>
      <c r="E37" s="73" t="n">
        <f aca="false">'Readiness Gate'!C5</f>
        <v>0.99</v>
      </c>
      <c r="F37" s="66" t="n">
        <f aca="false">IF(OR(D37="",E37=""),"—",D37-E37)</f>
        <v>-0.000937500000000036</v>
      </c>
      <c r="G37" s="63" t="str">
        <f aca="false">IF(OR(C37="",D37=""),"—",IF(D37=C37,"► Flat",IF((N37="Higher")=(D37&gt;C37),"▲ Improving","▼ Worsening")))</f>
        <v>▲ Improving</v>
      </c>
      <c r="H37" s="56" t="str">
        <f aca="false">IF(D37="","—",IF(N37="Higher",IF(D37&gt;=E37,"ON TRACK",IF(D37&gt;=E37-O37,"AT RISK","OFF TRACK")),IF(D37&lt;=E37,"ON TRACK",IF(D37&lt;=E37+O37,"AT RISK","OFF TRACK"))))</f>
        <v>OFF TRACK</v>
      </c>
      <c r="I37" s="63" t="s">
        <v>265</v>
      </c>
      <c r="J37" s="56" t="s">
        <v>256</v>
      </c>
      <c r="K37" s="63" t="s">
        <v>284</v>
      </c>
      <c r="L37" s="63" t="str">
        <f aca="false">IF(H37="ON TRACK","Continue — review "&amp;LOWER(J37),IF(A37="Earn Greater AI Autonomy","Hold Autonomy — "&amp;Q37,IF(A37="Create Sustainable Business Value","Adjust Initiative — "&amp;Q37,IF(H37="AT RISK","Investigate — "&amp;Q37,"Escalate — "&amp;Q37))))</f>
        <v>Hold Autonomy — fix failing integrations before any authority review</v>
      </c>
      <c r="N37" s="67" t="s">
        <v>262</v>
      </c>
      <c r="O37" s="68" t="n">
        <v>0</v>
      </c>
      <c r="P37" s="69" t="s">
        <v>306</v>
      </c>
      <c r="Q37" s="70" t="s">
        <v>307</v>
      </c>
      <c r="R37" s="71" t="s">
        <v>260</v>
      </c>
    </row>
    <row r="38" customFormat="false" ht="31.5" hidden="false" customHeight="true" outlineLevel="0" collapsed="false">
      <c r="A38" s="72" t="s">
        <v>236</v>
      </c>
      <c r="B38" s="63" t="s">
        <v>66</v>
      </c>
      <c r="C38" s="64" t="n">
        <f aca="false">AgentOps!L2</f>
        <v>0.740740740740741</v>
      </c>
      <c r="D38" s="64" t="n">
        <f aca="false">INDEX(AgentOps!$L$2:$L$9,MATCH($B$4,AgentOps!$A$2:$A$9,0))</f>
        <v>0.92</v>
      </c>
      <c r="E38" s="73" t="n">
        <f aca="false">'Readiness Gate'!C3</f>
        <v>0.9</v>
      </c>
      <c r="F38" s="66" t="n">
        <f aca="false">IF(OR(D38="",E38=""),"—",D38-E38)</f>
        <v>0.02</v>
      </c>
      <c r="G38" s="63" t="str">
        <f aca="false">IF(OR(C38="",D38=""),"—",IF(D38=C38,"► Flat",IF((N38="Higher")=(D38&gt;C38),"▲ Improving","▼ Worsening")))</f>
        <v>▲ Improving</v>
      </c>
      <c r="H38" s="56" t="str">
        <f aca="false">IF(D38="","—",IF(N38="Higher",IF(D38&gt;=E38,"ON TRACK",IF(D38&gt;=E38-O38,"AT RISK","OFF TRACK")),IF(D38&lt;=E38,"ON TRACK",IF(D38&lt;=E38+O38,"AT RISK","OFF TRACK"))))</f>
        <v>ON TRACK</v>
      </c>
      <c r="I38" s="63" t="s">
        <v>288</v>
      </c>
      <c r="J38" s="56" t="s">
        <v>256</v>
      </c>
      <c r="K38" s="63" t="s">
        <v>308</v>
      </c>
      <c r="L38" s="63" t="str">
        <f aca="false">IF(H38="ON TRACK","Continue — review "&amp;LOWER(J38),IF(A38="Earn Greater AI Autonomy","Hold Autonomy — "&amp;Q38,IF(A38="Create Sustainable Business Value","Adjust Initiative — "&amp;Q38,IF(H38="AT RISK","Investigate — "&amp;Q38,"Escalate — "&amp;Q38))))</f>
        <v>Continue — review weekly</v>
      </c>
      <c r="N38" s="67" t="s">
        <v>262</v>
      </c>
      <c r="O38" s="68" t="n">
        <v>0</v>
      </c>
      <c r="P38" s="69" t="s">
        <v>103</v>
      </c>
      <c r="Q38" s="70" t="s">
        <v>309</v>
      </c>
      <c r="R38" s="71" t="s">
        <v>260</v>
      </c>
    </row>
    <row r="39" customFormat="false" ht="31.5" hidden="false" customHeight="true" outlineLevel="0" collapsed="false">
      <c r="A39" s="72" t="s">
        <v>236</v>
      </c>
      <c r="B39" s="63" t="s">
        <v>77</v>
      </c>
      <c r="C39" s="64" t="n">
        <f aca="false">AgentOps!K2</f>
        <v>0.29</v>
      </c>
      <c r="D39" s="64" t="n">
        <f aca="false">INDEX(AgentOps!$K$2:$K$9,MATCH($B$4,AgentOps!$A$2:$A$9,0))</f>
        <v>0.128787878787879</v>
      </c>
      <c r="E39" s="65" t="n">
        <f aca="false">'Readiness Gate'!C6</f>
        <v>0.15</v>
      </c>
      <c r="F39" s="66" t="n">
        <f aca="false">IF(OR(D39="",E39=""),"—",D39-E39)</f>
        <v>-0.0212121212121212</v>
      </c>
      <c r="G39" s="63" t="str">
        <f aca="false">IF(OR(C39="",D39=""),"—",IF(D39=C39,"► Flat",IF((N39="Higher")=(D39&gt;C39),"▲ Improving","▼ Worsening")))</f>
        <v>▲ Improving</v>
      </c>
      <c r="H39" s="56" t="str">
        <f aca="false">IF(D39="","—",IF(N39="Higher",IF(D39&gt;=E39,"ON TRACK",IF(D39&gt;=E39-O39,"AT RISK","OFF TRACK")),IF(D39&lt;=E39,"ON TRACK",IF(D39&lt;=E39+O39,"AT RISK","OFF TRACK"))))</f>
        <v>ON TRACK</v>
      </c>
      <c r="I39" s="63" t="s">
        <v>255</v>
      </c>
      <c r="J39" s="56" t="s">
        <v>256</v>
      </c>
      <c r="K39" s="63" t="s">
        <v>308</v>
      </c>
      <c r="L39" s="63" t="str">
        <f aca="false">IF(H39="ON TRACK","Continue — review "&amp;LOWER(J39),IF(A39="Earn Greater AI Autonomy","Hold Autonomy — "&amp;Q39,IF(A39="Create Sustainable Business Value","Adjust Initiative — "&amp;Q39,IF(H39="AT RISK","Investigate — "&amp;Q39,"Escalate — "&amp;Q39))))</f>
        <v>Continue — review weekly</v>
      </c>
      <c r="N39" s="67" t="s">
        <v>258</v>
      </c>
      <c r="O39" s="68" t="n">
        <v>0</v>
      </c>
      <c r="P39" s="69" t="s">
        <v>310</v>
      </c>
      <c r="Q39" s="70" t="s">
        <v>311</v>
      </c>
      <c r="R39" s="71" t="s">
        <v>260</v>
      </c>
    </row>
    <row r="40" customFormat="false" ht="31.5" hidden="false" customHeight="true" outlineLevel="0" collapsed="false">
      <c r="A40" s="72" t="s">
        <v>236</v>
      </c>
      <c r="B40" s="63" t="s">
        <v>312</v>
      </c>
      <c r="C40" s="109" t="str">
        <f aca="false">'Readiness Gate'!K12</f>
        <v>HOLD</v>
      </c>
      <c r="D40" s="109" t="str">
        <f aca="false">INDEX('Readiness Gate'!$K$12:$K$19,MATCH($B$4,'Readiness Gate'!$A$12:$A$19,0))</f>
        <v>HOLD</v>
      </c>
      <c r="E40" s="56" t="s">
        <v>313</v>
      </c>
      <c r="F40" s="56" t="s">
        <v>314</v>
      </c>
      <c r="G40" s="63" t="str">
        <f aca="false">IF(D40=C40,"► Flat",IF(D40="PASS","▲ Improving","▼ Worsening"))</f>
        <v>► Flat</v>
      </c>
      <c r="H40" s="56" t="str">
        <f aca="false">IF(D40="PASS","ON TRACK","OFF TRACK")</f>
        <v>OFF TRACK</v>
      </c>
      <c r="I40" s="63" t="s">
        <v>288</v>
      </c>
      <c r="J40" s="56" t="s">
        <v>256</v>
      </c>
      <c r="K40" s="63" t="s">
        <v>284</v>
      </c>
      <c r="L40" s="110" t="str">
        <f aca="false">IF(D40="PASS","Scale — convene a decision-authority review","Hold Autonomy — resolve first blocker: "&amp;INDEX('Readiness Gate'!$L$12:$L$19,MATCH($B$4,'Readiness Gate'!$A$12:$A$19,0)))</f>
        <v>Hold Autonomy — resolve first blocker: Tool reliability</v>
      </c>
      <c r="N40" s="56" t="s">
        <v>88</v>
      </c>
      <c r="O40" s="56" t="s">
        <v>314</v>
      </c>
      <c r="P40" s="69" t="s">
        <v>315</v>
      </c>
      <c r="Q40" s="70" t="s">
        <v>316</v>
      </c>
      <c r="R40" s="71" t="s">
        <v>317</v>
      </c>
    </row>
    <row r="41" customFormat="false" ht="43.5" hidden="false" customHeight="true" outlineLevel="0" collapsed="false">
      <c r="A41" s="51" t="s">
        <v>318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</row>
    <row r="43" customFormat="false" ht="24" hidden="false" customHeight="true" outlineLevel="0" collapsed="false">
      <c r="A43" s="50" t="s">
        <v>319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</row>
    <row r="44" customFormat="false" ht="7.5" hidden="false" customHeight="true" outlineLevel="0" collapsed="false"/>
    <row r="45" customFormat="false" ht="30" hidden="false" customHeight="true" outlineLevel="0" collapsed="false">
      <c r="A45" s="53" t="s">
        <v>320</v>
      </c>
      <c r="B45" s="54" t="s">
        <v>321</v>
      </c>
      <c r="C45" s="54"/>
      <c r="D45" s="54"/>
      <c r="E45" s="54"/>
      <c r="F45" s="54"/>
      <c r="G45" s="111" t="n">
        <f aca="false">AVERAGE(G47:G50)</f>
        <v>1</v>
      </c>
      <c r="H45" s="56" t="str">
        <f aca="false">IF(G45&gt;=1,"ON TRACK",IF(G45&gt;=0.7,"AT RISK","OFF TRACK"))</f>
        <v>ON TRACK</v>
      </c>
      <c r="I45" s="112" t="s">
        <v>271</v>
      </c>
      <c r="J45" s="112"/>
      <c r="K45" s="53" t="str">
        <f aca="false">REPT("█",ROUND(G45*20,0))&amp;REPT("░",20-ROUND(G45*20,0))&amp;"  "&amp;TEXT(G45,"0%")</f>
        <v>████████████████████  100%</v>
      </c>
      <c r="L45" s="53"/>
    </row>
    <row r="46" customFormat="false" ht="30" hidden="false" customHeight="true" outlineLevel="0" collapsed="false">
      <c r="A46" s="52" t="s">
        <v>322</v>
      </c>
      <c r="B46" s="52" t="s">
        <v>323</v>
      </c>
      <c r="C46" s="52" t="s">
        <v>324</v>
      </c>
      <c r="D46" s="52" t="s">
        <v>325</v>
      </c>
      <c r="E46" s="52" t="s">
        <v>98</v>
      </c>
      <c r="F46" s="52" t="s">
        <v>243</v>
      </c>
      <c r="G46" s="52" t="s">
        <v>326</v>
      </c>
      <c r="H46" s="52" t="s">
        <v>99</v>
      </c>
      <c r="I46" s="52" t="s">
        <v>246</v>
      </c>
      <c r="J46" s="52"/>
      <c r="K46" s="52" t="s">
        <v>327</v>
      </c>
      <c r="L46" s="52" t="s">
        <v>328</v>
      </c>
    </row>
    <row r="47" customFormat="false" ht="31.5" hidden="false" customHeight="true" outlineLevel="0" collapsed="false">
      <c r="A47" s="62" t="s">
        <v>329</v>
      </c>
      <c r="B47" s="63" t="s">
        <v>330</v>
      </c>
      <c r="C47" s="56" t="s">
        <v>331</v>
      </c>
      <c r="D47" s="97" t="n">
        <v>0</v>
      </c>
      <c r="E47" s="113" t="n">
        <v>-0.3</v>
      </c>
      <c r="F47" s="64" t="n">
        <f aca="false">'Weekly Waste'!F4</f>
        <v>-0.377686796315251</v>
      </c>
      <c r="G47" s="93" t="n">
        <f aca="false">MIN(1,MAX(0,(F47-D47)/(E47-D47)))</f>
        <v>1</v>
      </c>
      <c r="H47" s="56" t="str">
        <f aca="false">IF(G47&gt;=1,"ON TRACK",IF(G47&gt;=0.7,"AT RISK","OFF TRACK"))</f>
        <v>ON TRACK</v>
      </c>
      <c r="I47" s="63" t="s">
        <v>271</v>
      </c>
      <c r="J47" s="63"/>
      <c r="K47" s="114" t="str">
        <f aca="false">REPT("█",ROUND(G47*20,0))&amp;REPT("░",20-ROUND(G47*20,0))&amp;"  "&amp;TEXT(G47,"0%")</f>
        <v>████████████████████  100%</v>
      </c>
      <c r="L47" s="63" t="s">
        <v>332</v>
      </c>
    </row>
    <row r="48" customFormat="false" ht="31.5" hidden="false" customHeight="true" outlineLevel="0" collapsed="false">
      <c r="A48" s="62" t="s">
        <v>333</v>
      </c>
      <c r="B48" s="63" t="s">
        <v>334</v>
      </c>
      <c r="C48" s="56" t="s">
        <v>335</v>
      </c>
      <c r="D48" s="89" t="n">
        <f aca="false">'Guest Experience'!D2</f>
        <v>4.61</v>
      </c>
      <c r="E48" s="90" t="n">
        <f aca="false">'Readiness Gate'!C8</f>
        <v>4.6</v>
      </c>
      <c r="F48" s="89" t="n">
        <f aca="false">'Guest Experience'!D13</f>
        <v>4.68</v>
      </c>
      <c r="G48" s="93" t="n">
        <f aca="false">IF(F48&gt;=E48,1,F48/E48)</f>
        <v>1</v>
      </c>
      <c r="H48" s="56" t="str">
        <f aca="false">IF(G48&gt;=1,"ON TRACK",IF(G48&gt;=0.7,"AT RISK","OFF TRACK"))</f>
        <v>ON TRACK</v>
      </c>
      <c r="I48" s="63" t="s">
        <v>271</v>
      </c>
      <c r="J48" s="63"/>
      <c r="K48" s="114" t="str">
        <f aca="false">REPT("█",ROUND(G48*20,0))&amp;REPT("░",20-ROUND(G48*20,0))&amp;"  "&amp;TEXT(G48,"0%")</f>
        <v>████████████████████  100%</v>
      </c>
      <c r="L48" s="63" t="s">
        <v>284</v>
      </c>
    </row>
    <row r="49" customFormat="false" ht="31.5" hidden="false" customHeight="true" outlineLevel="0" collapsed="false">
      <c r="A49" s="62" t="s">
        <v>336</v>
      </c>
      <c r="B49" s="63" t="s">
        <v>337</v>
      </c>
      <c r="C49" s="56" t="s">
        <v>338</v>
      </c>
      <c r="D49" s="64" t="n">
        <f aca="false">'Forecast MAPE'!F2</f>
        <v>0.17775</v>
      </c>
      <c r="E49" s="115" t="n">
        <f aca="false">'Readiness Gate'!C7</f>
        <v>0.1</v>
      </c>
      <c r="F49" s="64" t="n">
        <f aca="false">'Forecast MAPE'!C13</f>
        <v>0.072</v>
      </c>
      <c r="G49" s="93" t="n">
        <f aca="false">IF(F49&lt;=E49,1,E49/F49)</f>
        <v>1</v>
      </c>
      <c r="H49" s="56" t="str">
        <f aca="false">IF(G49&gt;=1,"ON TRACK",IF(G49&gt;=0.7,"AT RISK","OFF TRACK"))</f>
        <v>ON TRACK</v>
      </c>
      <c r="I49" s="63" t="s">
        <v>255</v>
      </c>
      <c r="J49" s="63"/>
      <c r="K49" s="114" t="str">
        <f aca="false">REPT("█",ROUND(G49*20,0))&amp;REPT("░",20-ROUND(G49*20,0))&amp;"  "&amp;TEXT(G49,"0%")</f>
        <v>████████████████████  100%</v>
      </c>
      <c r="L49" s="63" t="s">
        <v>257</v>
      </c>
    </row>
    <row r="50" customFormat="false" ht="31.5" hidden="false" customHeight="true" outlineLevel="0" collapsed="false">
      <c r="A50" s="62" t="s">
        <v>339</v>
      </c>
      <c r="B50" s="63" t="s">
        <v>340</v>
      </c>
      <c r="C50" s="56" t="s">
        <v>335</v>
      </c>
      <c r="D50" s="64" t="n">
        <f aca="false">AgentOps!N2</f>
        <v>0.967307692307692</v>
      </c>
      <c r="E50" s="116" t="n">
        <f aca="false">'Readiness Gate'!C5</f>
        <v>0.99</v>
      </c>
      <c r="F50" s="64" t="n">
        <f aca="false">AgentOps!N9</f>
        <v>0.994202898550725</v>
      </c>
      <c r="G50" s="93" t="n">
        <f aca="false">IF(F50&gt;=E50,1,F50/E50)</f>
        <v>1</v>
      </c>
      <c r="H50" s="56" t="str">
        <f aca="false">IF(G50&gt;=1,"ON TRACK",IF(G50&gt;=0.7,"AT RISK","OFF TRACK"))</f>
        <v>ON TRACK</v>
      </c>
      <c r="I50" s="63" t="s">
        <v>265</v>
      </c>
      <c r="J50" s="63"/>
      <c r="K50" s="114" t="str">
        <f aca="false">REPT("█",ROUND(G50*20,0))&amp;REPT("░",20-ROUND(G50*20,0))&amp;"  "&amp;TEXT(G50,"0%")</f>
        <v>████████████████████  100%</v>
      </c>
      <c r="L50" s="63" t="s">
        <v>341</v>
      </c>
    </row>
    <row r="52" customFormat="false" ht="30" hidden="false" customHeight="true" outlineLevel="0" collapsed="false">
      <c r="A52" s="52" t="s">
        <v>322</v>
      </c>
      <c r="B52" s="52" t="s">
        <v>342</v>
      </c>
      <c r="C52" s="52" t="s">
        <v>343</v>
      </c>
      <c r="D52" s="52"/>
      <c r="E52" s="52"/>
      <c r="F52" s="52"/>
      <c r="G52" s="52"/>
      <c r="H52" s="52" t="s">
        <v>99</v>
      </c>
      <c r="I52" s="52" t="s">
        <v>246</v>
      </c>
      <c r="J52" s="52"/>
      <c r="K52" s="52" t="s">
        <v>344</v>
      </c>
      <c r="L52" s="52" t="s">
        <v>345</v>
      </c>
    </row>
    <row r="53" customFormat="false" ht="30" hidden="false" customHeight="true" outlineLevel="0" collapsed="false">
      <c r="A53" s="62" t="s">
        <v>346</v>
      </c>
      <c r="B53" s="63" t="s">
        <v>257</v>
      </c>
      <c r="C53" s="56" t="s">
        <v>336</v>
      </c>
      <c r="D53" s="56"/>
      <c r="E53" s="56"/>
      <c r="F53" s="56"/>
      <c r="G53" s="56"/>
      <c r="H53" s="56" t="str">
        <f aca="false">H49</f>
        <v>ON TRACK</v>
      </c>
      <c r="I53" s="63" t="s">
        <v>255</v>
      </c>
      <c r="J53" s="63"/>
      <c r="K53" s="110" t="str">
        <f aca="false">"MAPE "&amp;TEXT('Forecast MAPE'!F2,"0.0%")&amp;" → "&amp;TEXT('Forecast MAPE'!C13,"0.0%")</f>
        <v>MAPE 17.8% → 7.2%</v>
      </c>
      <c r="L53" s="63" t="s">
        <v>347</v>
      </c>
    </row>
    <row r="54" customFormat="false" ht="30" hidden="false" customHeight="true" outlineLevel="0" collapsed="false">
      <c r="A54" s="62" t="s">
        <v>348</v>
      </c>
      <c r="B54" s="63" t="s">
        <v>267</v>
      </c>
      <c r="C54" s="56" t="s">
        <v>339</v>
      </c>
      <c r="D54" s="56"/>
      <c r="E54" s="56"/>
      <c r="F54" s="56"/>
      <c r="G54" s="56"/>
      <c r="H54" s="109" t="str">
        <f aca="false">IF('Control Room'!C10&gt;=$E$25,"ON TRACK","AT RISK")</f>
        <v>ON TRACK</v>
      </c>
      <c r="I54" s="63" t="s">
        <v>265</v>
      </c>
      <c r="J54" s="63"/>
      <c r="K54" s="110" t="str">
        <f aca="false">"Context completeness "&amp;TEXT('Control Room'!C10,"0.0%")&amp;" (modeled)"</f>
        <v>Context completeness 97.8% (modeled)</v>
      </c>
      <c r="L54" s="63" t="s">
        <v>349</v>
      </c>
    </row>
    <row r="55" customFormat="false" ht="30" hidden="false" customHeight="true" outlineLevel="0" collapsed="false">
      <c r="A55" s="62" t="s">
        <v>350</v>
      </c>
      <c r="B55" s="63" t="s">
        <v>261</v>
      </c>
      <c r="C55" s="56" t="s">
        <v>329</v>
      </c>
      <c r="D55" s="56"/>
      <c r="E55" s="56"/>
      <c r="F55" s="56"/>
      <c r="G55" s="56"/>
      <c r="H55" s="56" t="str">
        <f aca="false">H47</f>
        <v>ON TRACK</v>
      </c>
      <c r="I55" s="63" t="s">
        <v>120</v>
      </c>
      <c r="J55" s="63"/>
      <c r="K55" s="110" t="str">
        <f aca="false">"Acceptance "&amp;TEXT(AgentOps!J2,"0%")&amp;" → "&amp;TEXT(AgentOps!J9,"0%")</f>
        <v>Acceptance 61% → 88%</v>
      </c>
      <c r="L55" s="63" t="s">
        <v>351</v>
      </c>
    </row>
    <row r="56" customFormat="false" ht="30" hidden="false" customHeight="true" outlineLevel="0" collapsed="false">
      <c r="A56" s="62" t="s">
        <v>352</v>
      </c>
      <c r="B56" s="63" t="s">
        <v>272</v>
      </c>
      <c r="C56" s="56" t="s">
        <v>329</v>
      </c>
      <c r="D56" s="56"/>
      <c r="E56" s="56"/>
      <c r="F56" s="56"/>
      <c r="G56" s="56"/>
      <c r="H56" s="56" t="str">
        <f aca="false">H47</f>
        <v>ON TRACK</v>
      </c>
      <c r="I56" s="63" t="s">
        <v>271</v>
      </c>
      <c r="J56" s="63"/>
      <c r="K56" s="110" t="str">
        <f aca="false">"Overproduction "&amp;TEXT('Waste by Source'!D2,"0%")</f>
        <v>Overproduction -52%</v>
      </c>
      <c r="L56" s="63" t="s">
        <v>353</v>
      </c>
    </row>
    <row r="57" customFormat="false" ht="30" hidden="false" customHeight="true" outlineLevel="0" collapsed="false">
      <c r="A57" s="62" t="s">
        <v>354</v>
      </c>
      <c r="B57" s="63" t="s">
        <v>284</v>
      </c>
      <c r="C57" s="56" t="s">
        <v>355</v>
      </c>
      <c r="D57" s="56"/>
      <c r="E57" s="56"/>
      <c r="F57" s="56"/>
      <c r="G57" s="56"/>
      <c r="H57" s="109" t="str">
        <f aca="false">IF('Readiness Gate'!K19="PASS","ON TRACK","OFF TRACK")</f>
        <v>ON TRACK</v>
      </c>
      <c r="I57" s="63" t="s">
        <v>288</v>
      </c>
      <c r="J57" s="63"/>
      <c r="K57" s="110" t="str">
        <f aca="false">"First gate PASS: week "&amp;IFERROR(INDEX('Readiness Gate'!$A$12:$A$19,MATCH("PASS",'Readiness Gate'!$K$12:$K$19,0)),"none yet")</f>
        <v>First gate PASS: week A7</v>
      </c>
      <c r="L57" s="63" t="s">
        <v>356</v>
      </c>
    </row>
    <row r="58" customFormat="false" ht="30" hidden="false" customHeight="true" outlineLevel="0" collapsed="false">
      <c r="A58" s="62" t="s">
        <v>357</v>
      </c>
      <c r="B58" s="63" t="s">
        <v>308</v>
      </c>
      <c r="C58" s="56" t="s">
        <v>358</v>
      </c>
      <c r="D58" s="56"/>
      <c r="E58" s="56"/>
      <c r="F58" s="56"/>
      <c r="G58" s="56"/>
      <c r="H58" s="109" t="str">
        <f aca="false">IF(AgentOps!K9&lt;='Readiness Gate'!C6,"ON TRACK","AT RISK")</f>
        <v>ON TRACK</v>
      </c>
      <c r="I58" s="63" t="s">
        <v>255</v>
      </c>
      <c r="J58" s="63"/>
      <c r="K58" s="110" t="str">
        <f aca="false">"Override rate "&amp;TEXT(AgentOps!K2,"0%")&amp;" → "&amp;TEXT(AgentOps!K9,"0%")&amp;"; "&amp;Overrides!B9&amp;" overrides diagnosed"</f>
        <v>Override rate 29% → 9%; 166 overrides diagnosed</v>
      </c>
      <c r="L58" s="63" t="s">
        <v>359</v>
      </c>
    </row>
    <row r="60" customFormat="false" ht="24" hidden="false" customHeight="true" outlineLevel="0" collapsed="false">
      <c r="A60" s="50" t="s">
        <v>360</v>
      </c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</row>
    <row r="61" customFormat="false" ht="7.5" hidden="false" customHeight="true" outlineLevel="0" collapsed="false"/>
    <row r="62" customFormat="false" ht="30" hidden="false" customHeight="true" outlineLevel="0" collapsed="false">
      <c r="A62" s="52" t="s">
        <v>215</v>
      </c>
      <c r="B62" s="52" t="s">
        <v>361</v>
      </c>
      <c r="C62" s="52" t="s">
        <v>98</v>
      </c>
      <c r="D62" s="52" t="s">
        <v>362</v>
      </c>
      <c r="E62" s="52" t="s">
        <v>244</v>
      </c>
      <c r="F62" s="52" t="s">
        <v>99</v>
      </c>
      <c r="G62" s="52" t="s">
        <v>245</v>
      </c>
      <c r="H62" s="52" t="s">
        <v>246</v>
      </c>
      <c r="I62" s="52" t="s">
        <v>342</v>
      </c>
      <c r="J62" s="52" t="s">
        <v>363</v>
      </c>
      <c r="K62" s="52"/>
      <c r="L62" s="52"/>
    </row>
    <row r="63" customFormat="false" ht="27.75" hidden="false" customHeight="true" outlineLevel="0" collapsed="false">
      <c r="A63" s="53" t="s">
        <v>219</v>
      </c>
      <c r="B63" s="117" t="s">
        <v>364</v>
      </c>
      <c r="C63" s="112"/>
      <c r="D63" s="112"/>
      <c r="E63" s="112"/>
      <c r="F63" s="56" t="str">
        <f aca="false">IF(COUNTIF(H23:H25,"OFF TRACK")&gt;0,"OFF TRACK",IF(COUNTIF(H23:H25,"AT RISK")&gt;0,"AT RISK","ON TRACK"))</f>
        <v>ON TRACK</v>
      </c>
      <c r="G63" s="112"/>
      <c r="H63" s="112" t="s">
        <v>255</v>
      </c>
      <c r="I63" s="112"/>
      <c r="J63" s="53" t="str">
        <f aca="false">COUNTIF(H23:H25,"ON TRACK")&amp;" of "&amp;ROWS(H23:H25)&amp;" measures on track in week "&amp;$B$4&amp;"."</f>
        <v>3 of 3 measures on track in week A6.</v>
      </c>
      <c r="K63" s="53"/>
      <c r="L63" s="53"/>
    </row>
    <row r="64" customFormat="false" ht="55.5" hidden="false" customHeight="true" outlineLevel="0" collapsed="false">
      <c r="A64" s="63"/>
      <c r="B64" s="63" t="str">
        <f aca="false">B23</f>
        <v>Forecast MAPE</v>
      </c>
      <c r="C64" s="118" t="n">
        <f aca="false">E23</f>
        <v>0.1</v>
      </c>
      <c r="D64" s="74" t="n">
        <f aca="false">D23</f>
        <v>0.085</v>
      </c>
      <c r="E64" s="66" t="n">
        <f aca="false">F23</f>
        <v>-0.015</v>
      </c>
      <c r="F64" s="56" t="str">
        <f aca="false">H23</f>
        <v>ON TRACK</v>
      </c>
      <c r="G64" s="63" t="str">
        <f aca="false">G23</f>
        <v>▲ Improving</v>
      </c>
      <c r="H64" s="63" t="str">
        <f aca="false">I23</f>
        <v>AI / Product</v>
      </c>
      <c r="I64" s="63" t="str">
        <f aca="false">K23</f>
        <v>Improve demand forecasting</v>
      </c>
      <c r="J64" s="63" t="str">
        <f aca="false">B64&amp;": "&amp;TEXT(D64,$R$23)&amp;" vs target "&amp;IF($N$23="Higher","≥ ","≤ ")&amp;TEXT(C64,$R$23)&amp;" — "&amp;IF(F64="ON TRACK","on track. Continue.",LOWER(F64)&amp;". "&amp;L23&amp;".")</f>
        <v>Forecast MAPE: 8.5% vs target ≤ 10.0% — on track. Continue.</v>
      </c>
      <c r="K64" s="63"/>
      <c r="L64" s="63"/>
    </row>
    <row r="65" customFormat="false" ht="55.5" hidden="false" customHeight="true" outlineLevel="0" collapsed="false">
      <c r="A65" s="63"/>
      <c r="B65" s="63" t="str">
        <f aca="false">B24</f>
        <v>Recommendation Acceptance</v>
      </c>
      <c r="C65" s="119" t="n">
        <f aca="false">E24</f>
        <v>0.8</v>
      </c>
      <c r="D65" s="74" t="n">
        <f aca="false">D24</f>
        <v>0.833333333333333</v>
      </c>
      <c r="E65" s="66" t="n">
        <f aca="false">F24</f>
        <v>0.0333333333333333</v>
      </c>
      <c r="F65" s="56" t="str">
        <f aca="false">H24</f>
        <v>ON TRACK</v>
      </c>
      <c r="G65" s="63" t="str">
        <f aca="false">G24</f>
        <v>▲ Improving</v>
      </c>
      <c r="H65" s="63" t="str">
        <f aca="false">I24</f>
        <v>Operations</v>
      </c>
      <c r="I65" s="63" t="str">
        <f aca="false">K24</f>
        <v>Introduce governed production recommendations</v>
      </c>
      <c r="J65" s="63" t="str">
        <f aca="false">B65&amp;": "&amp;TEXT(D65,$R$24)&amp;" vs target "&amp;IF($N$24="Higher","≥ ","≤ ")&amp;TEXT(C65,$R$24)&amp;" — "&amp;IF(F65="ON TRACK","on track. Continue.",LOWER(F65)&amp;". "&amp;L24&amp;".")</f>
        <v>Recommendation Acceptance: 83.3% vs target ≥ 80.0% — on track. Continue.</v>
      </c>
      <c r="K65" s="63"/>
      <c r="L65" s="63"/>
    </row>
    <row r="66" customFormat="false" ht="27.75" hidden="false" customHeight="true" outlineLevel="0" collapsed="false">
      <c r="A66" s="53" t="s">
        <v>224</v>
      </c>
      <c r="B66" s="117" t="s">
        <v>364</v>
      </c>
      <c r="C66" s="112"/>
      <c r="D66" s="112"/>
      <c r="E66" s="112"/>
      <c r="F66" s="56" t="str">
        <f aca="false">IF(COUNTIF(H26:H29,"OFF TRACK")&gt;0,"OFF TRACK",IF(COUNTIF(H26:H29,"AT RISK")&gt;0,"AT RISK","ON TRACK"))</f>
        <v>AT RISK</v>
      </c>
      <c r="G66" s="112"/>
      <c r="H66" s="112" t="s">
        <v>120</v>
      </c>
      <c r="I66" s="112"/>
      <c r="J66" s="53" t="str">
        <f aca="false">COUNTIF(H26:H29,"ON TRACK")&amp;" of "&amp;ROWS(H26:H29)&amp;" measures on track in week "&amp;$B$4&amp;"."</f>
        <v>3 of 4 measures on track in week A6.</v>
      </c>
      <c r="K66" s="53"/>
      <c r="L66" s="53"/>
    </row>
    <row r="67" customFormat="false" ht="55.5" hidden="false" customHeight="true" outlineLevel="0" collapsed="false">
      <c r="A67" s="63"/>
      <c r="B67" s="63" t="str">
        <f aca="false">B26</f>
        <v>Weekly Food Waste (kg)</v>
      </c>
      <c r="C67" s="77" t="n">
        <f aca="false">E26</f>
        <v>342</v>
      </c>
      <c r="D67" s="120" t="n">
        <f aca="false">D26</f>
        <v>310</v>
      </c>
      <c r="E67" s="78" t="n">
        <f aca="false">F26</f>
        <v>-32</v>
      </c>
      <c r="F67" s="56" t="str">
        <f aca="false">H26</f>
        <v>ON TRACK</v>
      </c>
      <c r="G67" s="63" t="str">
        <f aca="false">G26</f>
        <v>▲ Improving</v>
      </c>
      <c r="H67" s="63" t="str">
        <f aca="false">I26</f>
        <v>F&amp;B Leadership</v>
      </c>
      <c r="I67" s="63" t="str">
        <f aca="false">K26</f>
        <v>Monitor waste root causes</v>
      </c>
      <c r="J67" s="63" t="str">
        <f aca="false">B67&amp;": "&amp;TEXT(D67,$R$26)&amp;" vs target "&amp;IF($N$26="Higher","≥ ","≤ ")&amp;TEXT(C67,$R$26)&amp;" — "&amp;IF(F67="ON TRACK","on track. Continue.",LOWER(F67)&amp;". "&amp;L26&amp;".")</f>
        <v>Weekly Food Waste (kg): 310 vs target ≤ 342 — on track. Continue.</v>
      </c>
      <c r="K67" s="63"/>
      <c r="L67" s="63"/>
    </row>
    <row r="68" customFormat="false" ht="55.5" hidden="false" customHeight="true" outlineLevel="0" collapsed="false">
      <c r="A68" s="63"/>
      <c r="B68" s="63" t="str">
        <f aca="false">B29</f>
        <v>Manager Hours Saved / Week</v>
      </c>
      <c r="C68" s="121" t="n">
        <f aca="false">E29</f>
        <v>8</v>
      </c>
      <c r="D68" s="107" t="n">
        <f aca="false">D29</f>
        <v>7.1</v>
      </c>
      <c r="E68" s="88" t="n">
        <f aca="false">F29</f>
        <v>-0.9</v>
      </c>
      <c r="F68" s="56" t="str">
        <f aca="false">H29</f>
        <v>AT RISK</v>
      </c>
      <c r="G68" s="63" t="str">
        <f aca="false">G29</f>
        <v>▲ Improving</v>
      </c>
      <c r="H68" s="63" t="str">
        <f aca="false">I29</f>
        <v>Operations</v>
      </c>
      <c r="I68" s="63" t="str">
        <f aca="false">K29</f>
        <v>Introduce governed production recommendations</v>
      </c>
      <c r="J68" s="63" t="str">
        <f aca="false">B68&amp;": "&amp;TEXT(D68,$R$29)&amp;" vs target "&amp;IF($N$29="Higher","≥ ","≤ ")&amp;TEXT(C68,$R$29)&amp;" — "&amp;IF(F68="ON TRACK","on track. Continue.",LOWER(F68)&amp;". "&amp;L29&amp;".")</f>
        <v>Manager Hours Saved / Week: 7.1 vs target ≥ 8.0 — at risk. Investigate — remove manual re-work from the approval flow.</v>
      </c>
      <c r="K68" s="63"/>
      <c r="L68" s="63"/>
    </row>
    <row r="69" customFormat="false" ht="27.75" hidden="false" customHeight="true" outlineLevel="0" collapsed="false">
      <c r="A69" s="53" t="s">
        <v>228</v>
      </c>
      <c r="B69" s="117" t="s">
        <v>364</v>
      </c>
      <c r="C69" s="112"/>
      <c r="D69" s="112"/>
      <c r="E69" s="112"/>
      <c r="F69" s="56" t="str">
        <f aca="false">IF(COUNTIF(H30:H32,"OFF TRACK")&gt;0,"OFF TRACK",IF(COUNTIF(H30:H32,"AT RISK")&gt;0,"AT RISK","ON TRACK"))</f>
        <v>ON TRACK</v>
      </c>
      <c r="G69" s="112"/>
      <c r="H69" s="112" t="s">
        <v>271</v>
      </c>
      <c r="I69" s="112"/>
      <c r="J69" s="53" t="str">
        <f aca="false">COUNTIF(H30:H32,"ON TRACK")&amp;" of "&amp;ROWS(H30:H32)&amp;" measures on track in week "&amp;$B$4&amp;"."</f>
        <v>3 of 3 measures on track in week A6.</v>
      </c>
      <c r="K69" s="53"/>
      <c r="L69" s="53"/>
    </row>
    <row r="70" customFormat="false" ht="55.5" hidden="false" customHeight="true" outlineLevel="0" collapsed="false">
      <c r="A70" s="63"/>
      <c r="B70" s="63" t="str">
        <f aca="false">B30</f>
        <v>Guest F&amp;B Score</v>
      </c>
      <c r="C70" s="122" t="n">
        <f aca="false">E30</f>
        <v>4.6</v>
      </c>
      <c r="D70" s="123" t="n">
        <f aca="false">D30</f>
        <v>4.65</v>
      </c>
      <c r="E70" s="91" t="n">
        <f aca="false">F30</f>
        <v>0.0500000000000007</v>
      </c>
      <c r="F70" s="56" t="str">
        <f aca="false">H30</f>
        <v>ON TRACK</v>
      </c>
      <c r="G70" s="63" t="str">
        <f aca="false">G30</f>
        <v>▲ Improving</v>
      </c>
      <c r="H70" s="63" t="str">
        <f aca="false">I30</f>
        <v>F&amp;B Leadership</v>
      </c>
      <c r="I70" s="63" t="str">
        <f aca="false">K30</f>
        <v>Operate readiness gate</v>
      </c>
      <c r="J70" s="63" t="str">
        <f aca="false">B70&amp;": "&amp;TEXT(D70,$R$30)&amp;" vs target "&amp;IF($N$30="Higher","≥ ","≤ ")&amp;TEXT(C70,$R$30)&amp;" — "&amp;IF(F70="ON TRACK","on track. Continue.",LOWER(F70)&amp;". "&amp;L30&amp;".")</f>
        <v>Guest F&amp;B Score: 4.65 vs target ≥ 4.60 — on track. Continue.</v>
      </c>
      <c r="K70" s="63"/>
      <c r="L70" s="63"/>
    </row>
    <row r="71" customFormat="false" ht="55.5" hidden="false" customHeight="true" outlineLevel="0" collapsed="false">
      <c r="A71" s="63"/>
      <c r="B71" s="63" t="str">
        <f aca="false">B31</f>
        <v>Guest Experience Guardrail (% of agent weeks ≥ score floor)</v>
      </c>
      <c r="C71" s="124" t="n">
        <f aca="false">E31</f>
        <v>1</v>
      </c>
      <c r="D71" s="93" t="n">
        <f aca="false">D31</f>
        <v>1</v>
      </c>
      <c r="E71" s="96" t="n">
        <f aca="false">F31</f>
        <v>0</v>
      </c>
      <c r="F71" s="56" t="str">
        <f aca="false">H31</f>
        <v>ON TRACK</v>
      </c>
      <c r="G71" s="63" t="str">
        <f aca="false">G31</f>
        <v>—</v>
      </c>
      <c r="H71" s="63" t="str">
        <f aca="false">I31</f>
        <v>Risk / Governance</v>
      </c>
      <c r="I71" s="63" t="str">
        <f aca="false">K31</f>
        <v>Operate readiness gate</v>
      </c>
      <c r="J71" s="63" t="str">
        <f aca="false">B71&amp;": "&amp;TEXT(D71,$R$31)&amp;" vs target "&amp;IF($N$31="Higher","≥ ","≤ ")&amp;TEXT(C71,$R$31)&amp;" — "&amp;IF(F71="ON TRACK","on track. Continue.",LOWER(F71)&amp;". "&amp;L31&amp;".")</f>
        <v>Guest Experience Guardrail (% of agent weeks ≥ score floor): 100% vs target ≥ 100% — on track. Continue.</v>
      </c>
      <c r="K71" s="63"/>
      <c r="L71" s="63"/>
    </row>
    <row r="72" customFormat="false" ht="27.75" hidden="false" customHeight="true" outlineLevel="0" collapsed="false">
      <c r="A72" s="53" t="s">
        <v>232</v>
      </c>
      <c r="B72" s="117" t="s">
        <v>364</v>
      </c>
      <c r="C72" s="112"/>
      <c r="D72" s="112"/>
      <c r="E72" s="112"/>
      <c r="F72" s="56" t="str">
        <f aca="false">IF(COUNTIF(H33:H36,"OFF TRACK")&gt;0,"OFF TRACK",IF(COUNTIF(H33:H36,"AT RISK")&gt;0,"AT RISK","ON TRACK"))</f>
        <v>ON TRACK</v>
      </c>
      <c r="G72" s="112"/>
      <c r="H72" s="112" t="s">
        <v>271</v>
      </c>
      <c r="I72" s="112"/>
      <c r="J72" s="53" t="str">
        <f aca="false">COUNTIF(H33:H36,"ON TRACK")&amp;" of "&amp;ROWS(H33:H36)&amp;" measures on track in week "&amp;$B$4&amp;"."</f>
        <v>4 of 4 measures on track in week A6.</v>
      </c>
      <c r="K72" s="53"/>
      <c r="L72" s="53"/>
    </row>
    <row r="73" customFormat="false" ht="55.5" hidden="false" customHeight="true" outlineLevel="0" collapsed="false">
      <c r="A73" s="63"/>
      <c r="B73" s="63" t="str">
        <f aca="false">B33</f>
        <v>Food Cost Avoided (annual)</v>
      </c>
      <c r="C73" s="125" t="n">
        <f aca="false">E33</f>
        <v>100000</v>
      </c>
      <c r="D73" s="101" t="n">
        <f aca="false">D33</f>
        <v>145000</v>
      </c>
      <c r="E73" s="104" t="n">
        <f aca="false">F33</f>
        <v>45000</v>
      </c>
      <c r="F73" s="56" t="str">
        <f aca="false">H33</f>
        <v>ON TRACK</v>
      </c>
      <c r="G73" s="63" t="str">
        <f aca="false">G33</f>
        <v>—</v>
      </c>
      <c r="H73" s="63" t="str">
        <f aca="false">I33</f>
        <v>F&amp;B Leadership</v>
      </c>
      <c r="I73" s="63" t="str">
        <f aca="false">K33</f>
        <v>Agent-enabled demand and production decision system</v>
      </c>
      <c r="J73" s="63" t="str">
        <f aca="false">B73&amp;": "&amp;TEXT(D73,$R$33)&amp;" vs target "&amp;IF($N$33="Higher","≥ ","≤ ")&amp;TEXT(C73,$R$33)&amp;" — "&amp;IF(F73="ON TRACK","on track. Continue.",LOWER(F73)&amp;". "&amp;L33&amp;".")</f>
        <v>Food Cost Avoided (annual): $145,000 vs target ≥ $100,000 — on track. Continue.</v>
      </c>
      <c r="K73" s="63"/>
      <c r="L73" s="63"/>
    </row>
    <row r="74" customFormat="false" ht="55.5" hidden="false" customHeight="true" outlineLevel="0" collapsed="false">
      <c r="A74" s="63"/>
      <c r="B74" s="63" t="str">
        <f aca="false">B34</f>
        <v>Net Annual Benefit (after AI cost)</v>
      </c>
      <c r="C74" s="125" t="n">
        <f aca="false">E34</f>
        <v>74989.2</v>
      </c>
      <c r="D74" s="101" t="n">
        <f aca="false">D34</f>
        <v>135508</v>
      </c>
      <c r="E74" s="104" t="n">
        <f aca="false">F34</f>
        <v>60518.8</v>
      </c>
      <c r="F74" s="56" t="str">
        <f aca="false">H34</f>
        <v>ON TRACK</v>
      </c>
      <c r="G74" s="63" t="str">
        <f aca="false">G34</f>
        <v>—</v>
      </c>
      <c r="H74" s="63" t="str">
        <f aca="false">I34</f>
        <v>F&amp;B Leadership</v>
      </c>
      <c r="I74" s="63" t="str">
        <f aca="false">K34</f>
        <v>Agent-enabled demand and production decision system</v>
      </c>
      <c r="J74" s="63" t="str">
        <f aca="false">B74&amp;": "&amp;TEXT(D74,$R$34)&amp;" vs target "&amp;IF($N$34="Higher","≥ ","≤ ")&amp;TEXT(C74,$R$34)&amp;" — "&amp;IF(F74="ON TRACK","on track. Continue.",LOWER(F74)&amp;". "&amp;L34&amp;".")</f>
        <v>Net Annual Benefit (after AI cost): $135,508 vs target ≥ $74,989 — on track. Continue.</v>
      </c>
      <c r="K74" s="63"/>
      <c r="L74" s="63"/>
    </row>
    <row r="75" customFormat="false" ht="27.75" hidden="false" customHeight="true" outlineLevel="0" collapsed="false">
      <c r="A75" s="53" t="s">
        <v>236</v>
      </c>
      <c r="B75" s="117" t="s">
        <v>364</v>
      </c>
      <c r="C75" s="112"/>
      <c r="D75" s="112"/>
      <c r="E75" s="112"/>
      <c r="F75" s="56" t="str">
        <f aca="false">IF(COUNTIF(H37:H40,"OFF TRACK")&gt;0,"OFF TRACK",IF(COUNTIF(H37:H40,"AT RISK")&gt;0,"AT RISK","ON TRACK"))</f>
        <v>OFF TRACK</v>
      </c>
      <c r="G75" s="112"/>
      <c r="H75" s="112" t="s">
        <v>288</v>
      </c>
      <c r="I75" s="112"/>
      <c r="J75" s="53" t="str">
        <f aca="false">COUNTIF(H37:H40,"ON TRACK")&amp;" of "&amp;ROWS(H37:H40)&amp;" measures on track in week "&amp;$B$4&amp;"."</f>
        <v>2 of 4 measures on track in week A6.</v>
      </c>
      <c r="K75" s="53"/>
      <c r="L75" s="53"/>
    </row>
    <row r="76" customFormat="false" ht="55.5" hidden="false" customHeight="true" outlineLevel="0" collapsed="false">
      <c r="A76" s="63"/>
      <c r="B76" s="63" t="str">
        <f aca="false">B37</f>
        <v>Tool / System Reliability</v>
      </c>
      <c r="C76" s="119" t="n">
        <f aca="false">E37</f>
        <v>0.99</v>
      </c>
      <c r="D76" s="74" t="n">
        <f aca="false">D37</f>
        <v>0.9890625</v>
      </c>
      <c r="E76" s="66" t="n">
        <f aca="false">F37</f>
        <v>-0.000937500000000036</v>
      </c>
      <c r="F76" s="56" t="str">
        <f aca="false">H37</f>
        <v>OFF TRACK</v>
      </c>
      <c r="G76" s="63" t="str">
        <f aca="false">G37</f>
        <v>▲ Improving</v>
      </c>
      <c r="H76" s="63" t="str">
        <f aca="false">I37</f>
        <v>IT / Data</v>
      </c>
      <c r="I76" s="63" t="str">
        <f aca="false">K37</f>
        <v>Operate readiness gate</v>
      </c>
      <c r="J76" s="63" t="str">
        <f aca="false">IF(F76="OFF TRACK","Week "&amp;$B$4&amp;" reliability missed the production-readiness threshold by "&amp;TEXT((C76-D76)*100,"0.0")&amp;" percentage points. Increased autonomy remains on HOLD pending evidence of recovery.","Week "&amp;$B$4&amp;" reliability of "&amp;TEXT(D76,"0.0%")&amp;" meets the "&amp;TEXT(C76,"0%")&amp;" production-readiness threshold.")</f>
        <v>Week A6 reliability missed the production-readiness threshold by 0.1 percentage points. Increased autonomy remains on HOLD pending evidence of recovery.</v>
      </c>
      <c r="K76" s="63"/>
      <c r="L76" s="63"/>
    </row>
    <row r="77" customFormat="false" ht="55.5" hidden="false" customHeight="true" outlineLevel="0" collapsed="false">
      <c r="A77" s="63"/>
      <c r="B77" s="63" t="str">
        <f aca="false">B40</f>
        <v>Production Readiness Gate (all 8 criteria)</v>
      </c>
      <c r="C77" s="126" t="str">
        <f aca="false">E40</f>
        <v>PASS</v>
      </c>
      <c r="D77" s="126" t="str">
        <f aca="false">D40</f>
        <v>HOLD</v>
      </c>
      <c r="E77" s="126" t="str">
        <f aca="false">F40</f>
        <v>—</v>
      </c>
      <c r="F77" s="56" t="str">
        <f aca="false">H40</f>
        <v>OFF TRACK</v>
      </c>
      <c r="G77" s="63" t="str">
        <f aca="false">G40</f>
        <v>► Flat</v>
      </c>
      <c r="H77" s="63" t="str">
        <f aca="false">I40</f>
        <v>Risk / Governance</v>
      </c>
      <c r="I77" s="63" t="str">
        <f aca="false">K40</f>
        <v>Operate readiness gate</v>
      </c>
      <c r="J77" s="110" t="str">
        <f aca="false">IF(D77="PASS","Week "&amp;$B$4&amp;": all eight readiness criteria passed. Eligible for a decision-authority review.","Week "&amp;$B$4&amp;": readiness gate on HOLD. First blocker: "&amp;INDEX('Readiness Gate'!$L$12:$L$19,MATCH($B$4,'Readiness Gate'!$A$12:$A$19,0))&amp;". Autonomy stays at its current level.")</f>
        <v>Week A6: readiness gate on HOLD. First blocker: Tool reliability. Autonomy stays at its current level.</v>
      </c>
      <c r="K77" s="110"/>
      <c r="L77" s="110"/>
    </row>
    <row r="79" customFormat="false" ht="24" hidden="false" customHeight="true" outlineLevel="0" collapsed="false">
      <c r="A79" s="50" t="s">
        <v>365</v>
      </c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</row>
    <row r="80" customFormat="false" ht="30" hidden="false" customHeight="true" outlineLevel="0" collapsed="false">
      <c r="A80" s="51" t="s">
        <v>366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</row>
    <row r="81" customFormat="false" ht="30" hidden="false" customHeight="true" outlineLevel="0" collapsed="false">
      <c r="A81" s="52" t="s">
        <v>367</v>
      </c>
      <c r="B81" s="52" t="s">
        <v>368</v>
      </c>
      <c r="C81" s="52" t="s">
        <v>242</v>
      </c>
      <c r="D81" s="52" t="s">
        <v>252</v>
      </c>
      <c r="E81" s="52" t="s">
        <v>98</v>
      </c>
      <c r="F81" s="52" t="s">
        <v>362</v>
      </c>
      <c r="G81" s="52" t="s">
        <v>99</v>
      </c>
      <c r="H81" s="52" t="s">
        <v>246</v>
      </c>
      <c r="I81" s="52" t="s">
        <v>369</v>
      </c>
      <c r="J81" s="52" t="s">
        <v>370</v>
      </c>
      <c r="K81" s="52"/>
      <c r="L81" s="52"/>
    </row>
    <row r="82" customFormat="false" ht="39.75" hidden="false" customHeight="true" outlineLevel="0" collapsed="false">
      <c r="A82" s="62" t="s">
        <v>371</v>
      </c>
      <c r="B82" s="63" t="s">
        <v>372</v>
      </c>
      <c r="C82" s="63" t="s">
        <v>373</v>
      </c>
      <c r="D82" s="69" t="s">
        <v>116</v>
      </c>
      <c r="E82" s="127" t="n">
        <f aca="false">$E$47</f>
        <v>-0.3</v>
      </c>
      <c r="F82" s="64" t="n">
        <f aca="false">'Weekly Waste'!F4</f>
        <v>-0.377686796315251</v>
      </c>
      <c r="G82" s="56" t="str">
        <f aca="false">IF(F82&lt;=E82,"ON TRACK","OFF TRACK")</f>
        <v>ON TRACK</v>
      </c>
      <c r="H82" s="63" t="s">
        <v>374</v>
      </c>
      <c r="I82" s="128" t="str">
        <f aca="false">IF(G82="ON TRACK","Continue modeled intervention","Investigate")</f>
        <v>Continue modeled intervention</v>
      </c>
      <c r="J82" s="110" t="str">
        <f aca="false">"≈ "&amp;TEXT('Waste Cost'!B9,"$#,##0")&amp;" food cost avoided per year; lower purchasing volume"</f>
        <v>≈ $145,000 food cost avoided per year; lower purchasing volume</v>
      </c>
      <c r="K82" s="110"/>
      <c r="L82" s="110"/>
    </row>
    <row r="83" customFormat="false" ht="39.75" hidden="false" customHeight="true" outlineLevel="0" collapsed="false">
      <c r="A83" s="62" t="s">
        <v>375</v>
      </c>
      <c r="B83" s="63" t="s">
        <v>376</v>
      </c>
      <c r="C83" s="63" t="s">
        <v>377</v>
      </c>
      <c r="D83" s="69" t="s">
        <v>30</v>
      </c>
      <c r="E83" s="115" t="n">
        <f aca="false">'Readiness Gate'!C7</f>
        <v>0.1</v>
      </c>
      <c r="F83" s="64" t="n">
        <f aca="false">'Forecast MAPE'!C13</f>
        <v>0.072</v>
      </c>
      <c r="G83" s="56" t="str">
        <f aca="false">IF(F83&lt;=E83,"ON TRACK","OFF TRACK")</f>
        <v>ON TRACK</v>
      </c>
      <c r="H83" s="63" t="s">
        <v>255</v>
      </c>
      <c r="I83" s="128" t="str">
        <f aca="false">IF(G83="ON TRACK","Continue","Investigate")</f>
        <v>Continue</v>
      </c>
      <c r="J83" s="110" t="str">
        <f aca="false">"Overproduction "&amp;TEXT('Waste by Source'!D2,"0%")&amp;" as forecasts improve"</f>
        <v>Overproduction -52% as forecasts improve</v>
      </c>
      <c r="K83" s="110"/>
      <c r="L83" s="110"/>
    </row>
    <row r="84" customFormat="false" ht="39.75" hidden="false" customHeight="true" outlineLevel="0" collapsed="false">
      <c r="A84" s="62" t="s">
        <v>378</v>
      </c>
      <c r="B84" s="63" t="s">
        <v>379</v>
      </c>
      <c r="C84" s="63" t="s">
        <v>380</v>
      </c>
      <c r="D84" s="69" t="s">
        <v>121</v>
      </c>
      <c r="E84" s="90" t="n">
        <f aca="false">'Readiness Gate'!C8</f>
        <v>4.6</v>
      </c>
      <c r="F84" s="89" t="n">
        <f aca="false">'Guest Experience'!D13</f>
        <v>4.68</v>
      </c>
      <c r="G84" s="56" t="str">
        <f aca="false">IF(F84&gt;=E84,"ON TRACK","OFF TRACK")</f>
        <v>ON TRACK</v>
      </c>
      <c r="H84" s="63" t="s">
        <v>271</v>
      </c>
      <c r="I84" s="128" t="str">
        <f aca="false">IF(G84="ON TRACK","Guardrail satisfied","Escalate — guardrail breached")</f>
        <v>Guardrail satisfied</v>
      </c>
      <c r="J84" s="63" t="s">
        <v>381</v>
      </c>
      <c r="K84" s="63"/>
      <c r="L84" s="63"/>
    </row>
    <row r="85" customFormat="false" ht="39.75" hidden="false" customHeight="true" outlineLevel="0" collapsed="false">
      <c r="A85" s="62" t="s">
        <v>382</v>
      </c>
      <c r="B85" s="63" t="s">
        <v>383</v>
      </c>
      <c r="C85" s="63" t="s">
        <v>384</v>
      </c>
      <c r="D85" s="63" t="str">
        <f aca="false">"AgentOps · week "&amp;$B$4</f>
        <v>AgentOps · week A6</v>
      </c>
      <c r="E85" s="116" t="n">
        <f aca="false">'Readiness Gate'!C5</f>
        <v>0.99</v>
      </c>
      <c r="F85" s="74" t="n">
        <f aca="false">D37</f>
        <v>0.9890625</v>
      </c>
      <c r="G85" s="56" t="str">
        <f aca="false">H37</f>
        <v>OFF TRACK</v>
      </c>
      <c r="H85" s="63" t="s">
        <v>288</v>
      </c>
      <c r="I85" s="128" t="str">
        <f aca="false">IF(D40="PASS","Scale — decision-authority review","HOLD autonomy")</f>
        <v>HOLD autonomy</v>
      </c>
      <c r="J85" s="110" t="str">
        <f aca="false">"Readiness gate "&amp;D40&amp;" in week "&amp;$B$4&amp;IF(D40="PASS","",". First blocker: "&amp;INDEX('Readiness Gate'!$L$12:$L$19,MATCH($B$4,'Readiness Gate'!$A$12:$A$19,0)))</f>
        <v>Readiness gate HOLD in week A6. First blocker: Tool reliability</v>
      </c>
      <c r="K85" s="110"/>
      <c r="L85" s="110"/>
    </row>
    <row r="86" customFormat="false" ht="39.75" hidden="false" customHeight="true" outlineLevel="0" collapsed="false">
      <c r="A86" s="62" t="s">
        <v>385</v>
      </c>
      <c r="B86" s="63" t="s">
        <v>386</v>
      </c>
      <c r="C86" s="63" t="s">
        <v>387</v>
      </c>
      <c r="D86" s="69" t="s">
        <v>301</v>
      </c>
      <c r="E86" s="106" t="n">
        <f aca="false">Sensitivity!C12</f>
        <v>74989.2</v>
      </c>
      <c r="F86" s="102" t="n">
        <f aca="false">Economics!B24</f>
        <v>135508</v>
      </c>
      <c r="G86" s="56" t="str">
        <f aca="false">IF(F86&gt;=E86,"ON TRACK","OFF TRACK")</f>
        <v>ON TRACK</v>
      </c>
      <c r="H86" s="63" t="s">
        <v>271</v>
      </c>
      <c r="I86" s="128" t="str">
        <f aca="false">IF(G86="ON TRACK","Evaluate continued investment","Adjust initiative")</f>
        <v>Evaluate continued investment</v>
      </c>
      <c r="J86" s="110" t="str">
        <f aca="false">"Payback "&amp;TEXT(Economics!B27,"0.0")&amp;" months · year-1 ROI "&amp;TEXT(Economics!B26,"0%")&amp;" · target = base-case net benefit"</f>
        <v>Payback 4.4 months · year-1 ROI 109% · target = base-case net benefit</v>
      </c>
      <c r="K86" s="110"/>
      <c r="L86" s="110"/>
    </row>
    <row r="88" customFormat="false" ht="24" hidden="false" customHeight="true" outlineLevel="0" collapsed="false">
      <c r="A88" s="50" t="s">
        <v>388</v>
      </c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</row>
    <row r="89" customFormat="false" ht="25.5" hidden="false" customHeight="true" outlineLevel="0" collapsed="false">
      <c r="A89" s="129" t="s">
        <v>389</v>
      </c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</row>
    <row r="90" customFormat="false" ht="30" hidden="false" customHeight="true" outlineLevel="0" collapsed="false">
      <c r="A90" s="46" t="s">
        <v>390</v>
      </c>
      <c r="B90" s="130" t="s">
        <v>391</v>
      </c>
      <c r="C90" s="130"/>
      <c r="D90" s="130"/>
      <c r="E90" s="130"/>
      <c r="F90" s="130"/>
      <c r="G90" s="130"/>
      <c r="H90" s="130"/>
      <c r="I90" s="130"/>
      <c r="J90" s="130"/>
      <c r="K90" s="130"/>
      <c r="L90" s="130"/>
    </row>
    <row r="91" customFormat="false" ht="18" hidden="false" customHeight="true" outlineLevel="0" collapsed="false">
      <c r="B91" s="58" t="s">
        <v>222</v>
      </c>
      <c r="C91" s="58"/>
      <c r="D91" s="58"/>
      <c r="E91" s="58"/>
      <c r="F91" s="58"/>
      <c r="G91" s="58"/>
      <c r="H91" s="58"/>
      <c r="I91" s="58"/>
      <c r="J91" s="58"/>
      <c r="K91" s="58"/>
      <c r="L91" s="58"/>
    </row>
    <row r="92" customFormat="false" ht="30" hidden="false" customHeight="true" outlineLevel="0" collapsed="false">
      <c r="A92" s="46" t="s">
        <v>392</v>
      </c>
      <c r="B92" s="131" t="s">
        <v>393</v>
      </c>
      <c r="C92" s="131"/>
      <c r="D92" s="131"/>
      <c r="E92" s="131"/>
      <c r="F92" s="131"/>
      <c r="G92" s="131"/>
      <c r="H92" s="131"/>
      <c r="I92" s="131"/>
      <c r="J92" s="131"/>
      <c r="K92" s="131"/>
      <c r="L92" s="131"/>
    </row>
    <row r="93" customFormat="false" ht="18" hidden="false" customHeight="true" outlineLevel="0" collapsed="false">
      <c r="B93" s="58" t="s">
        <v>222</v>
      </c>
      <c r="C93" s="58"/>
      <c r="D93" s="58"/>
      <c r="E93" s="58"/>
      <c r="F93" s="58"/>
      <c r="G93" s="58"/>
      <c r="H93" s="58"/>
      <c r="I93" s="58"/>
      <c r="J93" s="58"/>
      <c r="K93" s="58"/>
      <c r="L93" s="58"/>
    </row>
    <row r="94" customFormat="false" ht="30" hidden="false" customHeight="true" outlineLevel="0" collapsed="false">
      <c r="A94" s="46" t="s">
        <v>394</v>
      </c>
      <c r="B94" s="130" t="s">
        <v>395</v>
      </c>
      <c r="C94" s="130"/>
      <c r="D94" s="130"/>
      <c r="E94" s="130"/>
      <c r="F94" s="130"/>
      <c r="G94" s="130"/>
      <c r="H94" s="130"/>
      <c r="I94" s="130"/>
      <c r="J94" s="130"/>
      <c r="K94" s="130"/>
      <c r="L94" s="130"/>
    </row>
    <row r="95" customFormat="false" ht="18" hidden="false" customHeight="true" outlineLevel="0" collapsed="false">
      <c r="B95" s="58" t="s">
        <v>222</v>
      </c>
      <c r="C95" s="58"/>
      <c r="D95" s="58"/>
      <c r="E95" s="58"/>
      <c r="F95" s="58"/>
      <c r="G95" s="58"/>
      <c r="H95" s="58"/>
      <c r="I95" s="58"/>
      <c r="J95" s="58"/>
      <c r="K95" s="58"/>
      <c r="L95" s="58"/>
    </row>
    <row r="96" customFormat="false" ht="30" hidden="false" customHeight="true" outlineLevel="0" collapsed="false">
      <c r="A96" s="46" t="s">
        <v>396</v>
      </c>
      <c r="B96" s="132" t="s">
        <v>397</v>
      </c>
      <c r="C96" s="132"/>
      <c r="D96" s="132"/>
      <c r="E96" s="132"/>
      <c r="F96" s="132"/>
      <c r="G96" s="132"/>
      <c r="H96" s="132"/>
      <c r="I96" s="132"/>
      <c r="J96" s="132"/>
      <c r="K96" s="132"/>
      <c r="L96" s="132"/>
    </row>
    <row r="97" customFormat="false" ht="25.5" hidden="false" customHeight="true" outlineLevel="0" collapsed="false">
      <c r="B97" s="131" t="s">
        <v>398</v>
      </c>
      <c r="C97" s="55" t="s">
        <v>399</v>
      </c>
      <c r="D97" s="55"/>
      <c r="E97" s="55"/>
      <c r="F97" s="55"/>
      <c r="G97" s="55"/>
      <c r="H97" s="55"/>
      <c r="I97" s="55"/>
      <c r="J97" s="55"/>
      <c r="K97" s="55"/>
      <c r="L97" s="55"/>
    </row>
    <row r="98" customFormat="false" ht="25.5" hidden="false" customHeight="true" outlineLevel="0" collapsed="false">
      <c r="B98" s="131" t="s">
        <v>400</v>
      </c>
      <c r="C98" s="55" t="s">
        <v>401</v>
      </c>
      <c r="D98" s="55"/>
      <c r="E98" s="55"/>
      <c r="F98" s="55"/>
      <c r="G98" s="55"/>
      <c r="H98" s="55"/>
      <c r="I98" s="55"/>
      <c r="J98" s="55"/>
      <c r="K98" s="55"/>
      <c r="L98" s="55"/>
    </row>
    <row r="99" customFormat="false" ht="18" hidden="false" customHeight="true" outlineLevel="0" collapsed="false">
      <c r="B99" s="58" t="s">
        <v>222</v>
      </c>
      <c r="C99" s="58"/>
      <c r="D99" s="58"/>
      <c r="E99" s="58"/>
      <c r="F99" s="58"/>
      <c r="G99" s="58"/>
      <c r="H99" s="58"/>
      <c r="I99" s="58"/>
      <c r="J99" s="58"/>
      <c r="K99" s="58"/>
      <c r="L99" s="58"/>
    </row>
    <row r="100" customFormat="false" ht="25.5" hidden="false" customHeight="true" outlineLevel="0" collapsed="false">
      <c r="A100" s="46" t="s">
        <v>402</v>
      </c>
      <c r="B100" s="132" t="str">
        <f aca="false">"LEADERSHIP DECISIONS · week "&amp;$B$4&amp;"   ·   count of Required Actions in the Section B scorecard"</f>
        <v>LEADERSHIP DECISIONS · week A6   ·   count of Required Actions in the Section B scorecard</v>
      </c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</row>
    <row r="101" customFormat="false" ht="24" hidden="false" customHeight="true" outlineLevel="0" collapsed="false">
      <c r="B101" s="131" t="s">
        <v>403</v>
      </c>
      <c r="C101" s="131" t="s">
        <v>404</v>
      </c>
      <c r="D101" s="131" t="s">
        <v>405</v>
      </c>
      <c r="E101" s="131" t="s">
        <v>406</v>
      </c>
      <c r="F101" s="131" t="s">
        <v>407</v>
      </c>
      <c r="G101" s="131" t="s">
        <v>408</v>
      </c>
    </row>
    <row r="102" customFormat="false" ht="33.75" hidden="false" customHeight="true" outlineLevel="0" collapsed="false">
      <c r="B102" s="133" t="n">
        <f aca="false">SUMPRODUCT(--(LEFT($L$23:$L$40,8)="Continue"))</f>
        <v>15</v>
      </c>
      <c r="C102" s="133" t="n">
        <f aca="false">SUMPRODUCT(--(LEFT($L$23:$L$40,11)="Investigate"))</f>
        <v>1</v>
      </c>
      <c r="D102" s="133" t="n">
        <f aca="false">SUMPRODUCT(--(LEFT($L$23:$L$40,8)="Escalate"))</f>
        <v>0</v>
      </c>
      <c r="E102" s="133" t="n">
        <f aca="false">SUMPRODUCT(--(LEFT($L$23:$L$40,13)="Hold Autonomy"))</f>
        <v>2</v>
      </c>
      <c r="F102" s="133" t="n">
        <f aca="false">SUMPRODUCT(--(LEFT($L$23:$L$40,17)="Adjust Initiative"))</f>
        <v>0</v>
      </c>
      <c r="G102" s="133" t="n">
        <f aca="false">SUMPRODUCT(--(LEFT($L$23:$L$40,5)="Scale"))</f>
        <v>0</v>
      </c>
    </row>
    <row r="103" customFormat="false" ht="30" hidden="false" customHeight="true" outlineLevel="0" collapsed="false">
      <c r="A103" s="51" t="s">
        <v>409</v>
      </c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</row>
  </sheetData>
  <mergeCells count="82">
    <mergeCell ref="A1:L1"/>
    <mergeCell ref="A2:L2"/>
    <mergeCell ref="A3:L3"/>
    <mergeCell ref="C4:L4"/>
    <mergeCell ref="A5:L5"/>
    <mergeCell ref="A7:L7"/>
    <mergeCell ref="A8:L8"/>
    <mergeCell ref="B9:D9"/>
    <mergeCell ref="E9:H9"/>
    <mergeCell ref="J9:L9"/>
    <mergeCell ref="B10:D10"/>
    <mergeCell ref="E10:H10"/>
    <mergeCell ref="J10:L10"/>
    <mergeCell ref="B11:D11"/>
    <mergeCell ref="B12:D12"/>
    <mergeCell ref="E12:H12"/>
    <mergeCell ref="J12:L12"/>
    <mergeCell ref="B13:D13"/>
    <mergeCell ref="B14:D14"/>
    <mergeCell ref="E14:H14"/>
    <mergeCell ref="J14:L14"/>
    <mergeCell ref="B15:D15"/>
    <mergeCell ref="B16:D16"/>
    <mergeCell ref="E16:H16"/>
    <mergeCell ref="J16:L16"/>
    <mergeCell ref="B17:D17"/>
    <mergeCell ref="E17:H17"/>
    <mergeCell ref="J17:L17"/>
    <mergeCell ref="A18:L18"/>
    <mergeCell ref="A20:L20"/>
    <mergeCell ref="A21:L21"/>
    <mergeCell ref="N21:R21"/>
    <mergeCell ref="A41:L41"/>
    <mergeCell ref="A43:L43"/>
    <mergeCell ref="B45:F45"/>
    <mergeCell ref="K45:L45"/>
    <mergeCell ref="C52:G52"/>
    <mergeCell ref="C53:G53"/>
    <mergeCell ref="C54:G54"/>
    <mergeCell ref="C55:G55"/>
    <mergeCell ref="C56:G56"/>
    <mergeCell ref="C57:G57"/>
    <mergeCell ref="C58:G58"/>
    <mergeCell ref="A60:L60"/>
    <mergeCell ref="J62:L62"/>
    <mergeCell ref="J63:L63"/>
    <mergeCell ref="J64:L64"/>
    <mergeCell ref="J65:L65"/>
    <mergeCell ref="J66:L66"/>
    <mergeCell ref="J67:L67"/>
    <mergeCell ref="J68:L68"/>
    <mergeCell ref="J69:L69"/>
    <mergeCell ref="J70:L70"/>
    <mergeCell ref="J71:L71"/>
    <mergeCell ref="J72:L72"/>
    <mergeCell ref="J73:L73"/>
    <mergeCell ref="J74:L74"/>
    <mergeCell ref="J75:L75"/>
    <mergeCell ref="J76:L76"/>
    <mergeCell ref="J77:L77"/>
    <mergeCell ref="A79:L79"/>
    <mergeCell ref="A80:L80"/>
    <mergeCell ref="J81:L81"/>
    <mergeCell ref="J82:L82"/>
    <mergeCell ref="J83:L83"/>
    <mergeCell ref="J84:L84"/>
    <mergeCell ref="J85:L85"/>
    <mergeCell ref="J86:L86"/>
    <mergeCell ref="A88:L88"/>
    <mergeCell ref="A89:L89"/>
    <mergeCell ref="B90:L90"/>
    <mergeCell ref="B91:L91"/>
    <mergeCell ref="B92:L92"/>
    <mergeCell ref="B93:L93"/>
    <mergeCell ref="B94:L94"/>
    <mergeCell ref="B95:L95"/>
    <mergeCell ref="B96:L96"/>
    <mergeCell ref="C97:L97"/>
    <mergeCell ref="C98:L98"/>
    <mergeCell ref="B99:L99"/>
    <mergeCell ref="B100:L100"/>
    <mergeCell ref="A103:L103"/>
  </mergeCells>
  <conditionalFormatting sqref="H23:H40">
    <cfRule type="cellIs" priority="2" operator="equal" aboveAverage="0" equalAverage="0" bottom="0" percent="0" rank="0" text="" dxfId="2">
      <formula>"ON TRACK"</formula>
    </cfRule>
    <cfRule type="cellIs" priority="3" operator="equal" aboveAverage="0" equalAverage="0" bottom="0" percent="0" rank="0" text="" dxfId="3">
      <formula>"AT RISK"</formula>
    </cfRule>
    <cfRule type="cellIs" priority="4" operator="equal" aboveAverage="0" equalAverage="0" bottom="0" percent="0" rank="0" text="" dxfId="4">
      <formula>"OFF TRACK"</formula>
    </cfRule>
  </conditionalFormatting>
  <conditionalFormatting sqref="I10:I17">
    <cfRule type="cellIs" priority="5" operator="equal" aboveAverage="0" equalAverage="0" bottom="0" percent="0" rank="0" text="" dxfId="2">
      <formula>"ON TRACK"</formula>
    </cfRule>
    <cfRule type="cellIs" priority="6" operator="equal" aboveAverage="0" equalAverage="0" bottom="0" percent="0" rank="0" text="" dxfId="3">
      <formula>"AT RISK"</formula>
    </cfRule>
    <cfRule type="cellIs" priority="7" operator="equal" aboveAverage="0" equalAverage="0" bottom="0" percent="0" rank="0" text="" dxfId="4">
      <formula>"OFF TRACK"</formula>
    </cfRule>
  </conditionalFormatting>
  <conditionalFormatting sqref="G47:G50">
    <cfRule type="dataBar" priority="8">
      <dataBar showValue="1" minLength="10" maxLength="90">
        <cfvo type="num" val="0"/>
        <cfvo type="num" val="1"/>
        <color rgb="FF8EA487"/>
      </dataBar>
      <extLst>
        <ext xmlns:x14="http://schemas.microsoft.com/office/spreadsheetml/2009/9/main" uri="{B025F937-C7B1-47D3-B67F-A62EFF666E3E}">
          <x14:id>{23BE86B0-FC3F-45BC-B8BF-FB466CD5B9AF}</x14:id>
        </ext>
      </extLst>
    </cfRule>
  </conditionalFormatting>
  <conditionalFormatting sqref="H45:H50">
    <cfRule type="cellIs" priority="9" operator="equal" aboveAverage="0" equalAverage="0" bottom="0" percent="0" rank="0" text="" dxfId="2">
      <formula>"ON TRACK"</formula>
    </cfRule>
    <cfRule type="cellIs" priority="10" operator="equal" aboveAverage="0" equalAverage="0" bottom="0" percent="0" rank="0" text="" dxfId="3">
      <formula>"AT RISK"</formula>
    </cfRule>
    <cfRule type="cellIs" priority="11" operator="equal" aboveAverage="0" equalAverage="0" bottom="0" percent="0" rank="0" text="" dxfId="4">
      <formula>"OFF TRACK"</formula>
    </cfRule>
  </conditionalFormatting>
  <conditionalFormatting sqref="H53:H58">
    <cfRule type="cellIs" priority="12" operator="equal" aboveAverage="0" equalAverage="0" bottom="0" percent="0" rank="0" text="" dxfId="2">
      <formula>"ON TRACK"</formula>
    </cfRule>
    <cfRule type="cellIs" priority="13" operator="equal" aboveAverage="0" equalAverage="0" bottom="0" percent="0" rank="0" text="" dxfId="3">
      <formula>"AT RISK"</formula>
    </cfRule>
    <cfRule type="cellIs" priority="14" operator="equal" aboveAverage="0" equalAverage="0" bottom="0" percent="0" rank="0" text="" dxfId="4">
      <formula>"OFF TRACK"</formula>
    </cfRule>
  </conditionalFormatting>
  <conditionalFormatting sqref="F63:F77">
    <cfRule type="cellIs" priority="15" operator="equal" aboveAverage="0" equalAverage="0" bottom="0" percent="0" rank="0" text="" dxfId="2">
      <formula>"ON TRACK"</formula>
    </cfRule>
    <cfRule type="cellIs" priority="16" operator="equal" aboveAverage="0" equalAverage="0" bottom="0" percent="0" rank="0" text="" dxfId="3">
      <formula>"AT RISK"</formula>
    </cfRule>
    <cfRule type="cellIs" priority="17" operator="equal" aboveAverage="0" equalAverage="0" bottom="0" percent="0" rank="0" text="" dxfId="4">
      <formula>"OFF TRACK"</formula>
    </cfRule>
  </conditionalFormatting>
  <conditionalFormatting sqref="G82:G86">
    <cfRule type="cellIs" priority="18" operator="equal" aboveAverage="0" equalAverage="0" bottom="0" percent="0" rank="0" text="" dxfId="2">
      <formula>"ON TRACK"</formula>
    </cfRule>
    <cfRule type="cellIs" priority="19" operator="equal" aboveAverage="0" equalAverage="0" bottom="0" percent="0" rank="0" text="" dxfId="3">
      <formula>"AT RISK"</formula>
    </cfRule>
    <cfRule type="cellIs" priority="20" operator="equal" aboveAverage="0" equalAverage="0" bottom="0" percent="0" rank="0" text="" dxfId="4">
      <formula>"OFF TRACK"</formula>
    </cfRule>
  </conditionalFormatting>
  <conditionalFormatting sqref="B102">
    <cfRule type="cellIs" priority="21" operator="greaterThan" aboveAverage="0" equalAverage="0" bottom="0" percent="0" rank="0" text="" dxfId="0">
      <formula>0</formula>
    </cfRule>
  </conditionalFormatting>
  <conditionalFormatting sqref="G102">
    <cfRule type="cellIs" priority="22" operator="greaterThan" aboveAverage="0" equalAverage="0" bottom="0" percent="0" rank="0" text="" dxfId="0">
      <formula>0</formula>
    </cfRule>
  </conditionalFormatting>
  <conditionalFormatting sqref="C102:F102">
    <cfRule type="cellIs" priority="23" operator="greaterThan" aboveAverage="0" equalAverage="0" bottom="0" percent="0" rank="0" text="" dxfId="1">
      <formula>0</formula>
    </cfRule>
  </conditionalFormatting>
  <dataValidations count="1">
    <dataValidation allowBlank="false" error="Choose an agent week, A1–A8." errorStyle="stop" errorTitle="Agent week" operator="between" showDropDown="false" showErrorMessage="true" showInputMessage="false" sqref="B4" type="list">
      <formula1>"A1,A2,A3,A4,A5,A6,A7,A8"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BE86B0-FC3F-45BC-B8BF-FB466CD5B9A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EA487"/>
              <x14:axisColor rgb="FF000000"/>
            </x14:dataBar>
          </x14:cfRule>
          <xm:sqref>G47:G50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2026-09-26T01:57:29Z</dcterms:created>
  <dc:creator>Amelia Wolfire</dc:creator>
  <dc:description/>
  <dc:language>en-US</dc:language>
  <dcterms:modified xsi:type="dcterms:W3CDTF">2026-09-25T18:57:30Z</dcterms:modified>
  <cp:revision>1</cp:revision>
  <dc:subject/>
  <dc:title>Hotel Food Waste Model</dc:title>
  <cp:lastModifiedBy>Amelia Wolfire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